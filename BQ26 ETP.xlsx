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gregory_a_curl_ctr_mail_mil/Documents/Desktop/"/>
    </mc:Choice>
  </mc:AlternateContent>
  <xr:revisionPtr revIDLastSave="5" documentId="8_{CD7577BC-FD68-4E66-9BBA-743D73D25106}" xr6:coauthVersionLast="47" xr6:coauthVersionMax="47" xr10:uidLastSave="{D7B08B1C-B263-45C8-90B0-CB924634E39E}"/>
  <bookViews>
    <workbookView xWindow="-120" yWindow="-120" windowWidth="29040" windowHeight="15720" xr2:uid="{ED26A631-90FE-4B35-9C81-ED57240FD592}"/>
  </bookViews>
  <sheets>
    <sheet name="BQ26 main inventory data" sheetId="1" r:id="rId1"/>
  </sheets>
  <externalReferences>
    <externalReference r:id="rId2"/>
  </externalReferences>
  <definedNames>
    <definedName name="_xlnm._FilterDatabase" localSheetId="0" hidden="1">'BQ26 main inventory data'!$A$1:$K$245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5" i="1" l="1"/>
  <c r="L245" i="1"/>
  <c r="F245" i="1"/>
  <c r="B245" i="1"/>
  <c r="M244" i="1"/>
  <c r="L244" i="1"/>
  <c r="F244" i="1"/>
  <c r="B244" i="1"/>
  <c r="M243" i="1"/>
  <c r="L243" i="1"/>
  <c r="F243" i="1"/>
  <c r="B243" i="1"/>
  <c r="M242" i="1"/>
  <c r="L242" i="1"/>
  <c r="F242" i="1"/>
  <c r="B242" i="1"/>
  <c r="M241" i="1"/>
  <c r="L241" i="1"/>
  <c r="F241" i="1"/>
  <c r="B241" i="1"/>
  <c r="M240" i="1"/>
  <c r="L240" i="1"/>
  <c r="F240" i="1"/>
  <c r="B240" i="1"/>
  <c r="M239" i="1"/>
  <c r="L239" i="1"/>
  <c r="F239" i="1"/>
  <c r="H239" i="1" s="1"/>
  <c r="B239" i="1"/>
  <c r="M238" i="1"/>
  <c r="L238" i="1"/>
  <c r="H238" i="1"/>
  <c r="F238" i="1"/>
  <c r="B238" i="1"/>
  <c r="M237" i="1"/>
  <c r="L237" i="1"/>
  <c r="F237" i="1"/>
  <c r="B237" i="1"/>
  <c r="M236" i="1"/>
  <c r="L236" i="1"/>
  <c r="F236" i="1"/>
  <c r="B236" i="1"/>
  <c r="M235" i="1"/>
  <c r="L235" i="1"/>
  <c r="F235" i="1"/>
  <c r="B235" i="1"/>
  <c r="M234" i="1"/>
  <c r="L234" i="1"/>
  <c r="F234" i="1"/>
  <c r="B234" i="1"/>
  <c r="M233" i="1"/>
  <c r="L233" i="1"/>
  <c r="F233" i="1"/>
  <c r="B233" i="1"/>
  <c r="M232" i="1"/>
  <c r="L232" i="1"/>
  <c r="F232" i="1"/>
  <c r="B232" i="1"/>
  <c r="M231" i="1"/>
  <c r="L231" i="1"/>
  <c r="F231" i="1"/>
  <c r="B231" i="1"/>
  <c r="M230" i="1"/>
  <c r="L230" i="1"/>
  <c r="F230" i="1"/>
  <c r="B230" i="1"/>
  <c r="M229" i="1"/>
  <c r="L229" i="1"/>
  <c r="F229" i="1"/>
  <c r="B229" i="1"/>
  <c r="M228" i="1"/>
  <c r="L228" i="1"/>
  <c r="F228" i="1"/>
  <c r="B228" i="1"/>
  <c r="M227" i="1"/>
  <c r="L227" i="1"/>
  <c r="F227" i="1"/>
  <c r="B227" i="1"/>
  <c r="M226" i="1"/>
  <c r="L226" i="1"/>
  <c r="F226" i="1"/>
  <c r="B226" i="1"/>
  <c r="M225" i="1"/>
  <c r="L225" i="1"/>
  <c r="F225" i="1"/>
  <c r="B225" i="1"/>
  <c r="M224" i="1"/>
  <c r="L224" i="1"/>
  <c r="F224" i="1"/>
  <c r="B224" i="1"/>
  <c r="M223" i="1"/>
  <c r="L223" i="1"/>
  <c r="F223" i="1"/>
  <c r="B223" i="1"/>
  <c r="M222" i="1"/>
  <c r="L222" i="1"/>
  <c r="F222" i="1"/>
  <c r="B222" i="1"/>
  <c r="M221" i="1"/>
  <c r="L221" i="1"/>
  <c r="F221" i="1"/>
  <c r="B221" i="1"/>
  <c r="M220" i="1"/>
  <c r="L220" i="1"/>
  <c r="F220" i="1"/>
  <c r="B220" i="1"/>
  <c r="M219" i="1"/>
  <c r="L219" i="1"/>
  <c r="H219" i="1"/>
  <c r="F219" i="1"/>
  <c r="B219" i="1"/>
  <c r="M218" i="1"/>
  <c r="L218" i="1"/>
  <c r="F218" i="1"/>
  <c r="H218" i="1" s="1"/>
  <c r="B218" i="1"/>
  <c r="M217" i="1"/>
  <c r="L217" i="1"/>
  <c r="H217" i="1"/>
  <c r="F217" i="1"/>
  <c r="B217" i="1"/>
  <c r="M216" i="1"/>
  <c r="L216" i="1"/>
  <c r="F216" i="1"/>
  <c r="H216" i="1" s="1"/>
  <c r="B216" i="1"/>
  <c r="M215" i="1"/>
  <c r="L215" i="1"/>
  <c r="H215" i="1"/>
  <c r="F215" i="1"/>
  <c r="B215" i="1"/>
  <c r="M214" i="1"/>
  <c r="L214" i="1"/>
  <c r="F214" i="1"/>
  <c r="H214" i="1" s="1"/>
  <c r="B214" i="1"/>
  <c r="M213" i="1"/>
  <c r="L213" i="1"/>
  <c r="H213" i="1"/>
  <c r="F213" i="1"/>
  <c r="B213" i="1"/>
  <c r="M212" i="1"/>
  <c r="L212" i="1"/>
  <c r="H212" i="1"/>
  <c r="F212" i="1"/>
  <c r="B212" i="1"/>
  <c r="M211" i="1"/>
  <c r="L211" i="1"/>
  <c r="F211" i="1"/>
  <c r="H211" i="1" s="1"/>
  <c r="B211" i="1"/>
  <c r="M210" i="1"/>
  <c r="L210" i="1"/>
  <c r="F210" i="1"/>
  <c r="H210" i="1" s="1"/>
  <c r="B210" i="1"/>
  <c r="M209" i="1"/>
  <c r="L209" i="1"/>
  <c r="H209" i="1"/>
  <c r="F209" i="1"/>
  <c r="B209" i="1"/>
  <c r="M208" i="1"/>
  <c r="L208" i="1"/>
  <c r="H208" i="1"/>
  <c r="F208" i="1"/>
  <c r="B208" i="1"/>
  <c r="M207" i="1"/>
  <c r="L207" i="1"/>
  <c r="H207" i="1"/>
  <c r="F207" i="1"/>
  <c r="B207" i="1"/>
  <c r="M206" i="1"/>
  <c r="L206" i="1"/>
  <c r="F206" i="1"/>
  <c r="H206" i="1" s="1"/>
  <c r="B206" i="1"/>
  <c r="M205" i="1"/>
  <c r="L205" i="1"/>
  <c r="F205" i="1"/>
  <c r="H205" i="1" s="1"/>
  <c r="B205" i="1"/>
  <c r="M204" i="1"/>
  <c r="L204" i="1"/>
  <c r="H204" i="1"/>
  <c r="F204" i="1"/>
  <c r="B204" i="1"/>
  <c r="M203" i="1"/>
  <c r="L203" i="1"/>
  <c r="H203" i="1"/>
  <c r="F203" i="1"/>
  <c r="B203" i="1"/>
  <c r="M202" i="1"/>
  <c r="L202" i="1"/>
  <c r="F202" i="1"/>
  <c r="H202" i="1" s="1"/>
  <c r="B202" i="1"/>
  <c r="M201" i="1"/>
  <c r="L201" i="1"/>
  <c r="H201" i="1"/>
  <c r="F201" i="1"/>
  <c r="B201" i="1"/>
  <c r="M200" i="1"/>
  <c r="L200" i="1"/>
  <c r="F200" i="1"/>
  <c r="H200" i="1" s="1"/>
  <c r="B200" i="1"/>
  <c r="M199" i="1"/>
  <c r="L199" i="1"/>
  <c r="H199" i="1"/>
  <c r="F199" i="1"/>
  <c r="B199" i="1"/>
  <c r="M198" i="1"/>
  <c r="L198" i="1"/>
  <c r="F198" i="1"/>
  <c r="H198" i="1" s="1"/>
  <c r="B198" i="1"/>
  <c r="M197" i="1"/>
  <c r="L197" i="1"/>
  <c r="H197" i="1"/>
  <c r="F197" i="1"/>
  <c r="B197" i="1"/>
  <c r="M196" i="1"/>
  <c r="L196" i="1"/>
  <c r="H196" i="1"/>
  <c r="F196" i="1"/>
  <c r="B196" i="1"/>
  <c r="M195" i="1"/>
  <c r="L195" i="1"/>
  <c r="F195" i="1"/>
  <c r="H195" i="1" s="1"/>
  <c r="B195" i="1"/>
  <c r="M194" i="1"/>
  <c r="L194" i="1"/>
  <c r="F194" i="1"/>
  <c r="H194" i="1" s="1"/>
  <c r="B194" i="1"/>
  <c r="M193" i="1"/>
  <c r="L193" i="1"/>
  <c r="H193" i="1"/>
  <c r="F193" i="1"/>
  <c r="B193" i="1"/>
  <c r="M192" i="1"/>
  <c r="L192" i="1"/>
  <c r="H192" i="1"/>
  <c r="F192" i="1"/>
  <c r="B192" i="1"/>
  <c r="M191" i="1"/>
  <c r="L191" i="1"/>
  <c r="H191" i="1"/>
  <c r="F191" i="1"/>
  <c r="B191" i="1"/>
  <c r="M190" i="1"/>
  <c r="L190" i="1"/>
  <c r="F190" i="1"/>
  <c r="H190" i="1" s="1"/>
  <c r="B190" i="1"/>
  <c r="M189" i="1"/>
  <c r="L189" i="1"/>
  <c r="F189" i="1"/>
  <c r="H189" i="1" s="1"/>
  <c r="B189" i="1"/>
  <c r="M188" i="1"/>
  <c r="L188" i="1"/>
  <c r="H188" i="1"/>
  <c r="F188" i="1"/>
  <c r="B188" i="1"/>
  <c r="M187" i="1"/>
  <c r="L187" i="1"/>
  <c r="H187" i="1"/>
  <c r="F187" i="1"/>
  <c r="B187" i="1"/>
  <c r="M186" i="1"/>
  <c r="L186" i="1"/>
  <c r="F186" i="1"/>
  <c r="H186" i="1" s="1"/>
  <c r="B186" i="1"/>
  <c r="M185" i="1"/>
  <c r="L185" i="1"/>
  <c r="H185" i="1"/>
  <c r="F185" i="1"/>
  <c r="B185" i="1"/>
  <c r="M184" i="1"/>
  <c r="L184" i="1"/>
  <c r="F184" i="1"/>
  <c r="H184" i="1" s="1"/>
  <c r="B184" i="1"/>
  <c r="M183" i="1"/>
  <c r="L183" i="1"/>
  <c r="H183" i="1"/>
  <c r="F183" i="1"/>
  <c r="B183" i="1"/>
  <c r="M182" i="1"/>
  <c r="L182" i="1"/>
  <c r="F182" i="1"/>
  <c r="H182" i="1" s="1"/>
  <c r="B182" i="1"/>
  <c r="M181" i="1"/>
  <c r="L181" i="1"/>
  <c r="H181" i="1"/>
  <c r="F181" i="1"/>
  <c r="B181" i="1"/>
  <c r="M180" i="1"/>
  <c r="L180" i="1"/>
  <c r="H180" i="1"/>
  <c r="F180" i="1"/>
  <c r="B180" i="1"/>
  <c r="M179" i="1"/>
  <c r="L179" i="1"/>
  <c r="F179" i="1"/>
  <c r="H179" i="1" s="1"/>
  <c r="B179" i="1"/>
  <c r="M178" i="1"/>
  <c r="L178" i="1"/>
  <c r="F178" i="1"/>
  <c r="H178" i="1" s="1"/>
  <c r="B178" i="1"/>
  <c r="M177" i="1"/>
  <c r="L177" i="1"/>
  <c r="H177" i="1"/>
  <c r="F177" i="1"/>
  <c r="B177" i="1"/>
  <c r="M176" i="1"/>
  <c r="L176" i="1"/>
  <c r="H176" i="1"/>
  <c r="F176" i="1"/>
  <c r="B176" i="1"/>
  <c r="M175" i="1"/>
  <c r="L175" i="1"/>
  <c r="H175" i="1"/>
  <c r="F175" i="1"/>
  <c r="B175" i="1"/>
  <c r="M174" i="1"/>
  <c r="L174" i="1"/>
  <c r="F174" i="1"/>
  <c r="H174" i="1" s="1"/>
  <c r="B174" i="1"/>
  <c r="M173" i="1"/>
  <c r="L173" i="1"/>
  <c r="F173" i="1"/>
  <c r="H173" i="1" s="1"/>
  <c r="B173" i="1"/>
  <c r="M172" i="1"/>
  <c r="L172" i="1"/>
  <c r="H172" i="1"/>
  <c r="F172" i="1"/>
  <c r="B172" i="1"/>
  <c r="M171" i="1"/>
  <c r="L171" i="1"/>
  <c r="H171" i="1"/>
  <c r="F171" i="1"/>
  <c r="B171" i="1"/>
  <c r="M170" i="1"/>
  <c r="L170" i="1"/>
  <c r="F170" i="1"/>
  <c r="H170" i="1" s="1"/>
  <c r="B170" i="1"/>
  <c r="M169" i="1"/>
  <c r="L169" i="1"/>
  <c r="H169" i="1"/>
  <c r="F169" i="1"/>
  <c r="B169" i="1"/>
  <c r="M168" i="1"/>
  <c r="L168" i="1"/>
  <c r="F168" i="1"/>
  <c r="H168" i="1" s="1"/>
  <c r="B168" i="1"/>
  <c r="M167" i="1"/>
  <c r="L167" i="1"/>
  <c r="H167" i="1"/>
  <c r="F167" i="1"/>
  <c r="B167" i="1"/>
  <c r="M166" i="1"/>
  <c r="L166" i="1"/>
  <c r="F166" i="1"/>
  <c r="H166" i="1" s="1"/>
  <c r="B166" i="1"/>
  <c r="M165" i="1"/>
  <c r="L165" i="1"/>
  <c r="H165" i="1"/>
  <c r="F165" i="1"/>
  <c r="B165" i="1"/>
  <c r="M164" i="1"/>
  <c r="L164" i="1"/>
  <c r="H164" i="1"/>
  <c r="F164" i="1"/>
  <c r="B164" i="1"/>
  <c r="M163" i="1"/>
  <c r="L163" i="1"/>
  <c r="F163" i="1"/>
  <c r="H163" i="1" s="1"/>
  <c r="B163" i="1"/>
  <c r="M162" i="1"/>
  <c r="L162" i="1"/>
  <c r="F162" i="1"/>
  <c r="H162" i="1" s="1"/>
  <c r="B162" i="1"/>
  <c r="M161" i="1"/>
  <c r="L161" i="1"/>
  <c r="H161" i="1"/>
  <c r="F161" i="1"/>
  <c r="B161" i="1"/>
  <c r="M160" i="1"/>
  <c r="L160" i="1"/>
  <c r="H160" i="1"/>
  <c r="F160" i="1"/>
  <c r="B160" i="1"/>
  <c r="M159" i="1"/>
  <c r="L159" i="1"/>
  <c r="H159" i="1"/>
  <c r="F159" i="1"/>
  <c r="B159" i="1"/>
  <c r="M158" i="1"/>
  <c r="L158" i="1"/>
  <c r="F158" i="1"/>
  <c r="H158" i="1" s="1"/>
  <c r="B158" i="1"/>
  <c r="M157" i="1"/>
  <c r="L157" i="1"/>
  <c r="F157" i="1"/>
  <c r="H157" i="1" s="1"/>
  <c r="B157" i="1"/>
  <c r="M156" i="1"/>
  <c r="L156" i="1"/>
  <c r="H156" i="1"/>
  <c r="F156" i="1"/>
  <c r="B156" i="1"/>
  <c r="M155" i="1"/>
  <c r="L155" i="1"/>
  <c r="H155" i="1"/>
  <c r="F155" i="1"/>
  <c r="B155" i="1"/>
  <c r="M154" i="1"/>
  <c r="L154" i="1"/>
  <c r="F154" i="1"/>
  <c r="H154" i="1" s="1"/>
  <c r="B154" i="1"/>
  <c r="M153" i="1"/>
  <c r="L153" i="1"/>
  <c r="H153" i="1"/>
  <c r="F153" i="1"/>
  <c r="B153" i="1"/>
  <c r="M152" i="1"/>
  <c r="L152" i="1"/>
  <c r="F152" i="1"/>
  <c r="H152" i="1" s="1"/>
  <c r="B152" i="1"/>
  <c r="M151" i="1"/>
  <c r="L151" i="1"/>
  <c r="H151" i="1"/>
  <c r="F151" i="1"/>
  <c r="B151" i="1"/>
  <c r="M150" i="1"/>
  <c r="L150" i="1"/>
  <c r="F150" i="1"/>
  <c r="H150" i="1" s="1"/>
  <c r="B150" i="1"/>
  <c r="M149" i="1"/>
  <c r="L149" i="1"/>
  <c r="H149" i="1"/>
  <c r="F149" i="1"/>
  <c r="B149" i="1"/>
  <c r="M148" i="1"/>
  <c r="L148" i="1"/>
  <c r="H148" i="1"/>
  <c r="F148" i="1"/>
  <c r="B148" i="1"/>
  <c r="M147" i="1"/>
  <c r="L147" i="1"/>
  <c r="F147" i="1"/>
  <c r="H147" i="1" s="1"/>
  <c r="B147" i="1"/>
  <c r="M146" i="1"/>
  <c r="L146" i="1"/>
  <c r="F146" i="1"/>
  <c r="H146" i="1" s="1"/>
  <c r="B146" i="1"/>
  <c r="M145" i="1"/>
  <c r="L145" i="1"/>
  <c r="H145" i="1"/>
  <c r="F145" i="1"/>
  <c r="B145" i="1"/>
  <c r="M144" i="1"/>
  <c r="L144" i="1"/>
  <c r="H144" i="1"/>
  <c r="F144" i="1"/>
  <c r="B144" i="1"/>
  <c r="M143" i="1"/>
  <c r="L143" i="1"/>
  <c r="H143" i="1"/>
  <c r="F143" i="1"/>
  <c r="B143" i="1"/>
  <c r="M142" i="1"/>
  <c r="L142" i="1"/>
  <c r="F142" i="1"/>
  <c r="H142" i="1" s="1"/>
  <c r="B142" i="1"/>
  <c r="M141" i="1"/>
  <c r="L141" i="1"/>
  <c r="F141" i="1"/>
  <c r="H141" i="1" s="1"/>
  <c r="B141" i="1"/>
  <c r="M140" i="1"/>
  <c r="L140" i="1"/>
  <c r="H140" i="1"/>
  <c r="F140" i="1"/>
  <c r="B140" i="1"/>
  <c r="M139" i="1"/>
  <c r="L139" i="1"/>
  <c r="H139" i="1"/>
  <c r="F139" i="1"/>
  <c r="B139" i="1"/>
  <c r="M138" i="1"/>
  <c r="L138" i="1"/>
  <c r="F138" i="1"/>
  <c r="H138" i="1" s="1"/>
  <c r="B138" i="1"/>
  <c r="M137" i="1"/>
  <c r="L137" i="1"/>
  <c r="H137" i="1"/>
  <c r="F137" i="1"/>
  <c r="B137" i="1"/>
  <c r="M136" i="1"/>
  <c r="L136" i="1"/>
  <c r="F136" i="1"/>
  <c r="H136" i="1" s="1"/>
  <c r="B136" i="1"/>
  <c r="M135" i="1"/>
  <c r="L135" i="1"/>
  <c r="H135" i="1"/>
  <c r="F135" i="1"/>
  <c r="B135" i="1"/>
  <c r="M134" i="1"/>
  <c r="L134" i="1"/>
  <c r="F134" i="1"/>
  <c r="H134" i="1" s="1"/>
  <c r="B134" i="1"/>
  <c r="M133" i="1"/>
  <c r="L133" i="1"/>
  <c r="H133" i="1"/>
  <c r="F133" i="1"/>
  <c r="B133" i="1"/>
  <c r="M132" i="1"/>
  <c r="L132" i="1"/>
  <c r="H132" i="1"/>
  <c r="F132" i="1"/>
  <c r="B132" i="1"/>
  <c r="M131" i="1"/>
  <c r="L131" i="1"/>
  <c r="F131" i="1"/>
  <c r="H131" i="1" s="1"/>
  <c r="B131" i="1"/>
  <c r="M130" i="1"/>
  <c r="L130" i="1"/>
  <c r="F130" i="1"/>
  <c r="H130" i="1" s="1"/>
  <c r="B130" i="1"/>
  <c r="M129" i="1"/>
  <c r="L129" i="1"/>
  <c r="H129" i="1"/>
  <c r="F129" i="1"/>
  <c r="B129" i="1"/>
  <c r="M128" i="1"/>
  <c r="L128" i="1"/>
  <c r="H128" i="1"/>
  <c r="F128" i="1"/>
  <c r="B128" i="1"/>
  <c r="M127" i="1"/>
  <c r="L127" i="1"/>
  <c r="H127" i="1"/>
  <c r="F127" i="1"/>
  <c r="B127" i="1"/>
  <c r="M126" i="1"/>
  <c r="L126" i="1"/>
  <c r="F126" i="1"/>
  <c r="H126" i="1" s="1"/>
  <c r="B126" i="1"/>
  <c r="M125" i="1"/>
  <c r="L125" i="1"/>
  <c r="F125" i="1"/>
  <c r="H125" i="1" s="1"/>
  <c r="B125" i="1"/>
  <c r="M124" i="1"/>
  <c r="L124" i="1"/>
  <c r="H124" i="1"/>
  <c r="F124" i="1"/>
  <c r="B124" i="1"/>
  <c r="M123" i="1"/>
  <c r="L123" i="1"/>
  <c r="H123" i="1"/>
  <c r="F123" i="1"/>
  <c r="B123" i="1"/>
  <c r="M122" i="1"/>
  <c r="L122" i="1"/>
  <c r="F122" i="1"/>
  <c r="H122" i="1" s="1"/>
  <c r="B122" i="1"/>
  <c r="M121" i="1"/>
  <c r="L121" i="1"/>
  <c r="H121" i="1"/>
  <c r="F121" i="1"/>
  <c r="B121" i="1"/>
  <c r="M120" i="1"/>
  <c r="L120" i="1"/>
  <c r="F120" i="1"/>
  <c r="H120" i="1" s="1"/>
  <c r="B120" i="1"/>
  <c r="M119" i="1"/>
  <c r="L119" i="1"/>
  <c r="H119" i="1"/>
  <c r="F119" i="1"/>
  <c r="B119" i="1"/>
  <c r="M118" i="1"/>
  <c r="L118" i="1"/>
  <c r="F118" i="1"/>
  <c r="H118" i="1" s="1"/>
  <c r="B118" i="1"/>
  <c r="M117" i="1"/>
  <c r="L117" i="1"/>
  <c r="H117" i="1"/>
  <c r="F117" i="1"/>
  <c r="B117" i="1"/>
  <c r="M116" i="1"/>
  <c r="L116" i="1"/>
  <c r="H116" i="1"/>
  <c r="F116" i="1"/>
  <c r="B116" i="1"/>
  <c r="M115" i="1"/>
  <c r="L115" i="1"/>
  <c r="F115" i="1"/>
  <c r="H115" i="1" s="1"/>
  <c r="B115" i="1"/>
  <c r="M114" i="1"/>
  <c r="L114" i="1"/>
  <c r="F114" i="1"/>
  <c r="H114" i="1" s="1"/>
  <c r="B114" i="1"/>
  <c r="M113" i="1"/>
  <c r="L113" i="1"/>
  <c r="H113" i="1"/>
  <c r="F113" i="1"/>
  <c r="B113" i="1"/>
  <c r="M112" i="1"/>
  <c r="L112" i="1"/>
  <c r="H112" i="1"/>
  <c r="F112" i="1"/>
  <c r="B112" i="1"/>
  <c r="M111" i="1"/>
  <c r="L111" i="1"/>
  <c r="H111" i="1"/>
  <c r="F111" i="1"/>
  <c r="B111" i="1"/>
  <c r="M110" i="1"/>
  <c r="L110" i="1"/>
  <c r="F110" i="1"/>
  <c r="H110" i="1" s="1"/>
  <c r="B110" i="1"/>
  <c r="M109" i="1"/>
  <c r="L109" i="1"/>
  <c r="F109" i="1"/>
  <c r="H109" i="1" s="1"/>
  <c r="B109" i="1"/>
  <c r="M108" i="1"/>
  <c r="L108" i="1"/>
  <c r="H108" i="1"/>
  <c r="F108" i="1"/>
  <c r="B108" i="1"/>
  <c r="M107" i="1"/>
  <c r="L107" i="1"/>
  <c r="H107" i="1"/>
  <c r="F107" i="1"/>
  <c r="B107" i="1"/>
  <c r="M106" i="1"/>
  <c r="L106" i="1"/>
  <c r="F106" i="1"/>
  <c r="H106" i="1" s="1"/>
  <c r="B106" i="1"/>
  <c r="M105" i="1"/>
  <c r="L105" i="1"/>
  <c r="H105" i="1"/>
  <c r="F105" i="1"/>
  <c r="B105" i="1"/>
  <c r="M104" i="1"/>
  <c r="L104" i="1"/>
  <c r="F104" i="1"/>
  <c r="H104" i="1" s="1"/>
  <c r="B104" i="1"/>
  <c r="M103" i="1"/>
  <c r="L103" i="1"/>
  <c r="H103" i="1"/>
  <c r="F103" i="1"/>
  <c r="B103" i="1"/>
  <c r="M102" i="1"/>
  <c r="L102" i="1"/>
  <c r="F102" i="1"/>
  <c r="H102" i="1" s="1"/>
  <c r="B102" i="1"/>
  <c r="M101" i="1"/>
  <c r="L101" i="1"/>
  <c r="H101" i="1"/>
  <c r="F101" i="1"/>
  <c r="B101" i="1"/>
  <c r="M100" i="1"/>
  <c r="L100" i="1"/>
  <c r="H100" i="1"/>
  <c r="F100" i="1"/>
  <c r="B100" i="1"/>
  <c r="M99" i="1"/>
  <c r="L99" i="1"/>
  <c r="F99" i="1"/>
  <c r="H99" i="1" s="1"/>
  <c r="B99" i="1"/>
  <c r="M98" i="1"/>
  <c r="L98" i="1"/>
  <c r="F98" i="1"/>
  <c r="H98" i="1" s="1"/>
  <c r="B98" i="1"/>
  <c r="M97" i="1"/>
  <c r="L97" i="1"/>
  <c r="H97" i="1"/>
  <c r="F97" i="1"/>
  <c r="B97" i="1"/>
  <c r="M96" i="1"/>
  <c r="L96" i="1"/>
  <c r="H96" i="1"/>
  <c r="F96" i="1"/>
  <c r="B96" i="1"/>
  <c r="M95" i="1"/>
  <c r="L95" i="1"/>
  <c r="H95" i="1"/>
  <c r="F95" i="1"/>
  <c r="B95" i="1"/>
  <c r="M94" i="1"/>
  <c r="L94" i="1"/>
  <c r="F94" i="1"/>
  <c r="H94" i="1" s="1"/>
  <c r="B94" i="1"/>
  <c r="M93" i="1"/>
  <c r="L93" i="1"/>
  <c r="F93" i="1"/>
  <c r="H93" i="1" s="1"/>
  <c r="B93" i="1"/>
  <c r="M92" i="1"/>
  <c r="L92" i="1"/>
  <c r="H92" i="1"/>
  <c r="F92" i="1"/>
  <c r="B92" i="1"/>
  <c r="M91" i="1"/>
  <c r="L91" i="1"/>
  <c r="H91" i="1"/>
  <c r="F91" i="1"/>
  <c r="B91" i="1"/>
  <c r="M90" i="1"/>
  <c r="L90" i="1"/>
  <c r="F90" i="1"/>
  <c r="H90" i="1" s="1"/>
  <c r="B90" i="1"/>
  <c r="M89" i="1"/>
  <c r="L89" i="1"/>
  <c r="H89" i="1"/>
  <c r="F89" i="1"/>
  <c r="B89" i="1"/>
  <c r="M88" i="1"/>
  <c r="L88" i="1"/>
  <c r="F88" i="1"/>
  <c r="H88" i="1" s="1"/>
  <c r="B88" i="1"/>
  <c r="M87" i="1"/>
  <c r="L87" i="1"/>
  <c r="H87" i="1"/>
  <c r="F87" i="1"/>
  <c r="B87" i="1"/>
  <c r="M86" i="1"/>
  <c r="L86" i="1"/>
  <c r="F86" i="1"/>
  <c r="H86" i="1" s="1"/>
  <c r="B86" i="1"/>
  <c r="M85" i="1"/>
  <c r="L85" i="1"/>
  <c r="H85" i="1"/>
  <c r="F85" i="1"/>
  <c r="B85" i="1"/>
  <c r="M84" i="1"/>
  <c r="L84" i="1"/>
  <c r="H84" i="1"/>
  <c r="F84" i="1"/>
  <c r="B84" i="1"/>
  <c r="M83" i="1"/>
  <c r="L83" i="1"/>
  <c r="F83" i="1"/>
  <c r="H83" i="1" s="1"/>
  <c r="B83" i="1"/>
  <c r="M82" i="1"/>
  <c r="L82" i="1"/>
  <c r="F82" i="1"/>
  <c r="H82" i="1" s="1"/>
  <c r="B82" i="1"/>
  <c r="M81" i="1"/>
  <c r="L81" i="1"/>
  <c r="H81" i="1"/>
  <c r="F81" i="1"/>
  <c r="B81" i="1"/>
  <c r="M80" i="1"/>
  <c r="L80" i="1"/>
  <c r="H80" i="1"/>
  <c r="F80" i="1"/>
  <c r="B80" i="1"/>
  <c r="M79" i="1"/>
  <c r="L79" i="1"/>
  <c r="H79" i="1"/>
  <c r="F79" i="1"/>
  <c r="B79" i="1"/>
  <c r="M78" i="1"/>
  <c r="L78" i="1"/>
  <c r="F78" i="1"/>
  <c r="H78" i="1" s="1"/>
  <c r="B78" i="1"/>
  <c r="M77" i="1"/>
  <c r="L77" i="1"/>
  <c r="F77" i="1"/>
  <c r="H77" i="1" s="1"/>
  <c r="B77" i="1"/>
  <c r="M76" i="1"/>
  <c r="L76" i="1"/>
  <c r="H76" i="1"/>
  <c r="F76" i="1"/>
  <c r="B76" i="1"/>
  <c r="M75" i="1"/>
  <c r="L75" i="1"/>
  <c r="H75" i="1"/>
  <c r="F75" i="1"/>
  <c r="B75" i="1"/>
  <c r="M74" i="1"/>
  <c r="L74" i="1"/>
  <c r="F74" i="1"/>
  <c r="H74" i="1" s="1"/>
  <c r="B74" i="1"/>
  <c r="M73" i="1"/>
  <c r="L73" i="1"/>
  <c r="H73" i="1"/>
  <c r="F73" i="1"/>
  <c r="B73" i="1"/>
  <c r="M72" i="1"/>
  <c r="L72" i="1"/>
  <c r="F72" i="1"/>
  <c r="H72" i="1" s="1"/>
  <c r="B72" i="1"/>
  <c r="M71" i="1"/>
  <c r="L71" i="1"/>
  <c r="H71" i="1"/>
  <c r="F71" i="1"/>
  <c r="B71" i="1"/>
  <c r="M70" i="1"/>
  <c r="L70" i="1"/>
  <c r="F70" i="1"/>
  <c r="H70" i="1" s="1"/>
  <c r="B70" i="1"/>
  <c r="M69" i="1"/>
  <c r="L69" i="1"/>
  <c r="H69" i="1"/>
  <c r="F69" i="1"/>
  <c r="B69" i="1"/>
  <c r="M68" i="1"/>
  <c r="L68" i="1"/>
  <c r="H68" i="1"/>
  <c r="F68" i="1"/>
  <c r="B68" i="1"/>
  <c r="M67" i="1"/>
  <c r="L67" i="1"/>
  <c r="F67" i="1"/>
  <c r="H67" i="1" s="1"/>
  <c r="B67" i="1"/>
  <c r="M66" i="1"/>
  <c r="L66" i="1"/>
  <c r="F66" i="1"/>
  <c r="H66" i="1" s="1"/>
  <c r="B66" i="1"/>
  <c r="M65" i="1"/>
  <c r="L65" i="1"/>
  <c r="H65" i="1"/>
  <c r="F65" i="1"/>
  <c r="B65" i="1"/>
  <c r="M64" i="1"/>
  <c r="L64" i="1"/>
  <c r="H64" i="1"/>
  <c r="F64" i="1"/>
  <c r="B64" i="1"/>
  <c r="M63" i="1"/>
  <c r="L63" i="1"/>
  <c r="H63" i="1"/>
  <c r="F63" i="1"/>
  <c r="B63" i="1"/>
  <c r="M62" i="1"/>
  <c r="L62" i="1"/>
  <c r="F62" i="1"/>
  <c r="H62" i="1" s="1"/>
  <c r="B62" i="1"/>
  <c r="M61" i="1"/>
  <c r="L61" i="1"/>
  <c r="F61" i="1"/>
  <c r="H61" i="1" s="1"/>
  <c r="B61" i="1"/>
  <c r="M60" i="1"/>
  <c r="L60" i="1"/>
  <c r="H60" i="1"/>
  <c r="F60" i="1"/>
  <c r="B60" i="1"/>
  <c r="M59" i="1"/>
  <c r="L59" i="1"/>
  <c r="H59" i="1"/>
  <c r="F59" i="1"/>
  <c r="B59" i="1"/>
  <c r="M58" i="1"/>
  <c r="L58" i="1"/>
  <c r="F58" i="1"/>
  <c r="H58" i="1" s="1"/>
  <c r="B58" i="1"/>
  <c r="M57" i="1"/>
  <c r="L57" i="1"/>
  <c r="H57" i="1"/>
  <c r="F57" i="1"/>
  <c r="B57" i="1"/>
  <c r="M56" i="1"/>
  <c r="L56" i="1"/>
  <c r="F56" i="1"/>
  <c r="H56" i="1" s="1"/>
  <c r="B56" i="1"/>
  <c r="M55" i="1"/>
  <c r="L55" i="1"/>
  <c r="H55" i="1"/>
  <c r="F55" i="1"/>
  <c r="B55" i="1"/>
  <c r="M54" i="1"/>
  <c r="L54" i="1"/>
  <c r="F54" i="1"/>
  <c r="H54" i="1" s="1"/>
  <c r="B54" i="1"/>
  <c r="M53" i="1"/>
  <c r="L53" i="1"/>
  <c r="H53" i="1"/>
  <c r="F53" i="1"/>
  <c r="B53" i="1"/>
  <c r="M52" i="1"/>
  <c r="L52" i="1"/>
  <c r="H52" i="1"/>
  <c r="F52" i="1"/>
  <c r="B52" i="1"/>
  <c r="M51" i="1"/>
  <c r="L51" i="1"/>
  <c r="F51" i="1"/>
  <c r="H51" i="1" s="1"/>
  <c r="B51" i="1"/>
  <c r="M50" i="1"/>
  <c r="L50" i="1"/>
  <c r="F50" i="1"/>
  <c r="H50" i="1" s="1"/>
  <c r="B50" i="1"/>
  <c r="M49" i="1"/>
  <c r="L49" i="1"/>
  <c r="H49" i="1"/>
  <c r="F49" i="1"/>
  <c r="B49" i="1"/>
  <c r="M48" i="1"/>
  <c r="L48" i="1"/>
  <c r="H48" i="1"/>
  <c r="F48" i="1"/>
  <c r="B48" i="1"/>
  <c r="M47" i="1"/>
  <c r="L47" i="1"/>
  <c r="H47" i="1"/>
  <c r="F47" i="1"/>
  <c r="B47" i="1"/>
  <c r="M46" i="1"/>
  <c r="L46" i="1"/>
  <c r="F46" i="1"/>
  <c r="H46" i="1" s="1"/>
  <c r="B46" i="1"/>
  <c r="M45" i="1"/>
  <c r="L45" i="1"/>
  <c r="F45" i="1"/>
  <c r="H45" i="1" s="1"/>
  <c r="B45" i="1"/>
  <c r="M44" i="1"/>
  <c r="L44" i="1"/>
  <c r="H44" i="1"/>
  <c r="F44" i="1"/>
  <c r="B44" i="1"/>
  <c r="M43" i="1"/>
  <c r="L43" i="1"/>
  <c r="H43" i="1"/>
  <c r="F43" i="1"/>
  <c r="B43" i="1"/>
  <c r="M42" i="1"/>
  <c r="L42" i="1"/>
  <c r="F42" i="1"/>
  <c r="H42" i="1" s="1"/>
  <c r="B42" i="1"/>
  <c r="M41" i="1"/>
  <c r="L41" i="1"/>
  <c r="H41" i="1"/>
  <c r="F41" i="1"/>
  <c r="B41" i="1"/>
  <c r="M40" i="1"/>
  <c r="L40" i="1"/>
  <c r="F40" i="1"/>
  <c r="H40" i="1" s="1"/>
  <c r="B40" i="1"/>
  <c r="M39" i="1"/>
  <c r="L39" i="1"/>
  <c r="H39" i="1"/>
  <c r="F39" i="1"/>
  <c r="B39" i="1"/>
  <c r="M38" i="1"/>
  <c r="L38" i="1"/>
  <c r="F38" i="1"/>
  <c r="H38" i="1" s="1"/>
  <c r="B38" i="1"/>
  <c r="M37" i="1"/>
  <c r="L37" i="1"/>
  <c r="H37" i="1"/>
  <c r="F37" i="1"/>
  <c r="B37" i="1"/>
  <c r="M36" i="1"/>
  <c r="L36" i="1"/>
  <c r="H36" i="1"/>
  <c r="F36" i="1"/>
  <c r="B36" i="1"/>
  <c r="M35" i="1"/>
  <c r="L35" i="1"/>
  <c r="F35" i="1"/>
  <c r="H35" i="1" s="1"/>
  <c r="B35" i="1"/>
  <c r="M34" i="1"/>
  <c r="L34" i="1"/>
  <c r="F34" i="1"/>
  <c r="H34" i="1" s="1"/>
  <c r="B34" i="1"/>
  <c r="M33" i="1"/>
  <c r="L33" i="1"/>
  <c r="H33" i="1"/>
  <c r="F33" i="1"/>
  <c r="B33" i="1"/>
  <c r="M32" i="1"/>
  <c r="L32" i="1"/>
  <c r="H32" i="1"/>
  <c r="F32" i="1"/>
  <c r="B32" i="1"/>
  <c r="M31" i="1"/>
  <c r="L31" i="1"/>
  <c r="H31" i="1"/>
  <c r="F31" i="1"/>
  <c r="B31" i="1"/>
  <c r="M30" i="1"/>
  <c r="L30" i="1"/>
  <c r="F30" i="1"/>
  <c r="H30" i="1" s="1"/>
  <c r="B30" i="1"/>
  <c r="M29" i="1"/>
  <c r="L29" i="1"/>
  <c r="F29" i="1"/>
  <c r="H29" i="1" s="1"/>
  <c r="B29" i="1"/>
  <c r="M28" i="1"/>
  <c r="L28" i="1"/>
  <c r="H28" i="1"/>
  <c r="F28" i="1"/>
  <c r="B28" i="1"/>
  <c r="M27" i="1"/>
  <c r="L27" i="1"/>
  <c r="H27" i="1"/>
  <c r="F27" i="1"/>
  <c r="B27" i="1"/>
  <c r="M26" i="1"/>
  <c r="L26" i="1"/>
  <c r="F26" i="1"/>
  <c r="H26" i="1" s="1"/>
  <c r="B26" i="1"/>
  <c r="M25" i="1"/>
  <c r="L25" i="1"/>
  <c r="H25" i="1"/>
  <c r="F25" i="1"/>
  <c r="B25" i="1"/>
  <c r="M24" i="1"/>
  <c r="L24" i="1"/>
  <c r="F24" i="1"/>
  <c r="H24" i="1" s="1"/>
  <c r="B24" i="1"/>
  <c r="M23" i="1"/>
  <c r="L23" i="1"/>
  <c r="H23" i="1"/>
  <c r="F23" i="1"/>
  <c r="B23" i="1"/>
  <c r="M22" i="1"/>
  <c r="L22" i="1"/>
  <c r="F22" i="1"/>
  <c r="H22" i="1" s="1"/>
  <c r="B22" i="1"/>
  <c r="M21" i="1"/>
  <c r="L21" i="1"/>
  <c r="H21" i="1"/>
  <c r="F21" i="1"/>
  <c r="B21" i="1"/>
  <c r="M20" i="1"/>
  <c r="L20" i="1"/>
  <c r="H20" i="1"/>
  <c r="F20" i="1"/>
  <c r="B20" i="1"/>
  <c r="M19" i="1"/>
  <c r="L19" i="1"/>
  <c r="F19" i="1"/>
  <c r="H19" i="1" s="1"/>
  <c r="B19" i="1"/>
  <c r="M18" i="1"/>
  <c r="L18" i="1"/>
  <c r="F18" i="1"/>
  <c r="H18" i="1" s="1"/>
  <c r="B18" i="1"/>
  <c r="M17" i="1"/>
  <c r="L17" i="1"/>
  <c r="H17" i="1"/>
  <c r="F17" i="1"/>
  <c r="B17" i="1"/>
  <c r="M16" i="1"/>
  <c r="L16" i="1"/>
  <c r="H16" i="1"/>
  <c r="F16" i="1"/>
  <c r="B16" i="1"/>
  <c r="M15" i="1"/>
  <c r="L15" i="1"/>
  <c r="H15" i="1"/>
  <c r="F15" i="1"/>
  <c r="B15" i="1"/>
  <c r="M14" i="1"/>
  <c r="L14" i="1"/>
  <c r="F14" i="1"/>
  <c r="H14" i="1" s="1"/>
  <c r="B14" i="1"/>
  <c r="M13" i="1"/>
  <c r="L13" i="1"/>
  <c r="F13" i="1"/>
  <c r="H13" i="1" s="1"/>
  <c r="B13" i="1"/>
  <c r="M12" i="1"/>
  <c r="L12" i="1"/>
  <c r="H12" i="1"/>
  <c r="F12" i="1"/>
  <c r="B12" i="1"/>
  <c r="M11" i="1"/>
  <c r="L11" i="1"/>
  <c r="H11" i="1"/>
  <c r="F11" i="1"/>
  <c r="B11" i="1"/>
  <c r="M10" i="1"/>
  <c r="L10" i="1"/>
  <c r="F10" i="1"/>
  <c r="H10" i="1" s="1"/>
  <c r="B10" i="1"/>
  <c r="M9" i="1"/>
  <c r="L9" i="1"/>
  <c r="H9" i="1"/>
  <c r="F9" i="1"/>
  <c r="B9" i="1"/>
  <c r="M8" i="1"/>
  <c r="L8" i="1"/>
  <c r="F8" i="1"/>
  <c r="H8" i="1" s="1"/>
  <c r="B8" i="1"/>
  <c r="M7" i="1"/>
  <c r="L7" i="1"/>
  <c r="H7" i="1"/>
  <c r="F7" i="1"/>
  <c r="B7" i="1"/>
  <c r="M6" i="1"/>
  <c r="L6" i="1"/>
  <c r="F6" i="1"/>
  <c r="H6" i="1" s="1"/>
  <c r="B6" i="1"/>
  <c r="M5" i="1"/>
  <c r="L5" i="1"/>
  <c r="H5" i="1"/>
  <c r="F5" i="1"/>
  <c r="B5" i="1"/>
  <c r="M4" i="1"/>
  <c r="L4" i="1"/>
  <c r="H4" i="1"/>
  <c r="F4" i="1"/>
  <c r="B4" i="1"/>
  <c r="M3" i="1"/>
  <c r="L3" i="1"/>
  <c r="F3" i="1"/>
  <c r="H3" i="1" s="1"/>
  <c r="B3" i="1"/>
  <c r="M2" i="1"/>
  <c r="L2" i="1"/>
  <c r="F2" i="1"/>
  <c r="H2" i="1" s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Curl, Gregory A CTR (USA)</author>
  </authors>
  <commentList>
    <comment ref="C221" authorId="0" shapeId="0" xr:uid="{6D3E68A0-A76E-48B1-A244-54532950B9C2}">
      <text>
        <r>
          <rPr>
            <b/>
            <sz val="9"/>
            <color indexed="81"/>
            <rFont val="Tahoma"/>
            <family val="2"/>
          </rPr>
          <t>Curl, Gregory A CTR (USA):</t>
        </r>
        <r>
          <rPr>
            <sz val="9"/>
            <color indexed="81"/>
            <rFont val="Tahoma"/>
            <family val="2"/>
          </rPr>
          <t xml:space="preserve">
DSD
Data Lake</t>
        </r>
      </text>
    </comment>
    <comment ref="C222" authorId="0" shapeId="0" xr:uid="{4B5653CB-0D0B-4BCD-A7C6-8397A03B6169}">
      <text>
        <r>
          <rPr>
            <b/>
            <sz val="9"/>
            <color indexed="81"/>
            <rFont val="Tahoma"/>
            <family val="2"/>
          </rPr>
          <t>Curl, Gregory A CTR (USA):</t>
        </r>
        <r>
          <rPr>
            <sz val="9"/>
            <color indexed="81"/>
            <rFont val="Tahoma"/>
            <family val="2"/>
          </rPr>
          <t xml:space="preserve">
DSD
Data Lake
</t>
        </r>
      </text>
    </comment>
    <comment ref="D240" authorId="0" shapeId="0" xr:uid="{43454096-63A3-45DF-BBDF-D004D5B04C0A}">
      <text>
        <r>
          <rPr>
            <b/>
            <sz val="9"/>
            <color indexed="81"/>
            <rFont val="Tahoma"/>
            <family val="2"/>
          </rPr>
          <t>Curl, Gregory A CTR (USA):</t>
        </r>
        <r>
          <rPr>
            <sz val="9"/>
            <color indexed="81"/>
            <rFont val="Tahoma"/>
            <family val="2"/>
          </rPr>
          <t xml:space="preserve">
Manny DeLeon
MDSA</t>
        </r>
      </text>
    </comment>
    <comment ref="D241" authorId="0" shapeId="0" xr:uid="{8975D022-F351-4E68-9687-76C363121D6A}">
      <text>
        <r>
          <rPr>
            <b/>
            <sz val="9"/>
            <color indexed="81"/>
            <rFont val="Tahoma"/>
            <family val="2"/>
          </rPr>
          <t>Curl, Gregory A CTR (USA):</t>
        </r>
        <r>
          <rPr>
            <sz val="9"/>
            <color indexed="81"/>
            <rFont val="Tahoma"/>
            <family val="2"/>
          </rPr>
          <t xml:space="preserve">
BGX-NATO
</t>
        </r>
      </text>
    </comment>
  </commentList>
</comments>
</file>

<file path=xl/sharedStrings.xml><?xml version="1.0" encoding="utf-8"?>
<sst xmlns="http://schemas.openxmlformats.org/spreadsheetml/2006/main" count="1505" uniqueCount="777">
  <si>
    <t>building_room</t>
  </si>
  <si>
    <t>case_number</t>
  </si>
  <si>
    <t>slot_number</t>
  </si>
  <si>
    <t>equipment_type</t>
  </si>
  <si>
    <t>asset_tag</t>
  </si>
  <si>
    <t>clean_asset_tag</t>
  </si>
  <si>
    <t>serial_number</t>
  </si>
  <si>
    <t>mac_address</t>
  </si>
  <si>
    <t>manufacturer</t>
  </si>
  <si>
    <t>model</t>
  </si>
  <si>
    <t>model_code</t>
  </si>
  <si>
    <t>case_helper</t>
  </si>
  <si>
    <t>slot_helper</t>
  </si>
  <si>
    <t>1-1</t>
  </si>
  <si>
    <t>Laptop</t>
  </si>
  <si>
    <t>DDC4CY-002645</t>
  </si>
  <si>
    <t>19MH014</t>
  </si>
  <si>
    <t>Dell</t>
  </si>
  <si>
    <t>Precision 7680</t>
  </si>
  <si>
    <t>1-2</t>
  </si>
  <si>
    <t>DDC4CY-002663</t>
  </si>
  <si>
    <t>24MH014</t>
  </si>
  <si>
    <t>1-3</t>
  </si>
  <si>
    <t>DDC4CY-002668</t>
  </si>
  <si>
    <t>4VLH014</t>
  </si>
  <si>
    <t>1-4</t>
  </si>
  <si>
    <t>DDC4CY-002643</t>
  </si>
  <si>
    <t>C2MH014</t>
  </si>
  <si>
    <t>1-5</t>
  </si>
  <si>
    <t>DDC4CY-002582</t>
  </si>
  <si>
    <t>67NH014</t>
  </si>
  <si>
    <t>1-6</t>
  </si>
  <si>
    <t>DDC4CY-002508</t>
  </si>
  <si>
    <t>B5NH014</t>
  </si>
  <si>
    <t>1-7</t>
  </si>
  <si>
    <t>DDC4CY-002603</t>
  </si>
  <si>
    <t>BBLH014</t>
  </si>
  <si>
    <t>1-8</t>
  </si>
  <si>
    <t>DDC4CY-002570</t>
  </si>
  <si>
    <t>GFMH014</t>
  </si>
  <si>
    <t>1-9</t>
  </si>
  <si>
    <t>DDC4CY-002533</t>
  </si>
  <si>
    <t>33NH014</t>
  </si>
  <si>
    <t>1-10</t>
  </si>
  <si>
    <t>DDC4CY-002604</t>
  </si>
  <si>
    <t>40MH014</t>
  </si>
  <si>
    <t>1-11</t>
  </si>
  <si>
    <t>DDC4CY-002685</t>
  </si>
  <si>
    <t>CZMH014</t>
  </si>
  <si>
    <t>1-12</t>
  </si>
  <si>
    <t>DDC4CY-002651</t>
  </si>
  <si>
    <t>6GMH014</t>
  </si>
  <si>
    <t>1-13</t>
  </si>
  <si>
    <t>DDC4CY-002607</t>
  </si>
  <si>
    <t>CVLH014</t>
  </si>
  <si>
    <t>1-14</t>
  </si>
  <si>
    <t>DDC4CY-002751</t>
  </si>
  <si>
    <t>6NMTH54</t>
  </si>
  <si>
    <t>1-15</t>
  </si>
  <si>
    <t>DDC4CY-002507</t>
  </si>
  <si>
    <t>2FNH014</t>
  </si>
  <si>
    <t>1-16</t>
  </si>
  <si>
    <t>DDC4CY-002764</t>
  </si>
  <si>
    <t>2QMTH54</t>
  </si>
  <si>
    <t>1-17</t>
  </si>
  <si>
    <t>DDC4CY-002526</t>
  </si>
  <si>
    <t>2BNH014</t>
  </si>
  <si>
    <t>1-18</t>
  </si>
  <si>
    <t>DDC4CY-002740</t>
  </si>
  <si>
    <t>4HMTH54</t>
  </si>
  <si>
    <t>1-19</t>
  </si>
  <si>
    <t>DDC4CY-002577</t>
  </si>
  <si>
    <t>JDMH014</t>
  </si>
  <si>
    <t>1-20</t>
  </si>
  <si>
    <t>DDC4CY-002544</t>
  </si>
  <si>
    <t>G2NH014</t>
  </si>
  <si>
    <t>1-21</t>
  </si>
  <si>
    <t>DDC4CY-002549</t>
  </si>
  <si>
    <t>63NH014</t>
  </si>
  <si>
    <t>1-22</t>
  </si>
  <si>
    <t>DDC4CY-002634</t>
  </si>
  <si>
    <t>BYMH014</t>
  </si>
  <si>
    <t>1-23</t>
  </si>
  <si>
    <t>DDC4CY-002673</t>
  </si>
  <si>
    <t>2GLH014</t>
  </si>
  <si>
    <t>1-24</t>
  </si>
  <si>
    <t>DDC4CY-002559</t>
  </si>
  <si>
    <t>BFMH014</t>
  </si>
  <si>
    <t>1-25</t>
  </si>
  <si>
    <t>DDC4CY-002561</t>
  </si>
  <si>
    <t>8FMH014</t>
  </si>
  <si>
    <t>1-26</t>
  </si>
  <si>
    <t>DDC4CY-002554</t>
  </si>
  <si>
    <t>80NH014</t>
  </si>
  <si>
    <t>1-27</t>
  </si>
  <si>
    <t>DDC4CY-002576</t>
  </si>
  <si>
    <t>4CMH014</t>
  </si>
  <si>
    <t>1-28</t>
  </si>
  <si>
    <t>DDC4CY-002662</t>
  </si>
  <si>
    <t>C0MH014</t>
  </si>
  <si>
    <t>1-29</t>
  </si>
  <si>
    <t>DDC4CY-002596</t>
  </si>
  <si>
    <t>46NH014</t>
  </si>
  <si>
    <t>1-30</t>
  </si>
  <si>
    <t>DDC4CY-002632</t>
  </si>
  <si>
    <t>5YMH014</t>
  </si>
  <si>
    <t>2-1</t>
  </si>
  <si>
    <t>DDC4CY-002659</t>
  </si>
  <si>
    <t>3PMH014</t>
  </si>
  <si>
    <t>2-2</t>
  </si>
  <si>
    <t>DDC4CY-002599</t>
  </si>
  <si>
    <t>5JLH014</t>
  </si>
  <si>
    <t>2-3</t>
  </si>
  <si>
    <t>DDC4CY-002583</t>
  </si>
  <si>
    <t>JFNH014</t>
  </si>
  <si>
    <t>2-4</t>
  </si>
  <si>
    <t>DDC4CY-002618</t>
  </si>
  <si>
    <t>5ZLH014</t>
  </si>
  <si>
    <t>2-5</t>
  </si>
  <si>
    <t>DDC4CY-002614</t>
  </si>
  <si>
    <t>JJLH014</t>
  </si>
  <si>
    <t>2-6</t>
  </si>
  <si>
    <t>DDC4CY-002677</t>
  </si>
  <si>
    <t>7PLH014</t>
  </si>
  <si>
    <t>2-7</t>
  </si>
  <si>
    <t>DDC4CY-002529</t>
  </si>
  <si>
    <t>JCNH014</t>
  </si>
  <si>
    <t>2-8</t>
  </si>
  <si>
    <t>DDC4CY-002649</t>
  </si>
  <si>
    <t>3WMH014</t>
  </si>
  <si>
    <t>2-9</t>
  </si>
  <si>
    <t>DDC4CY-002734</t>
  </si>
  <si>
    <t>4PMTH54</t>
  </si>
  <si>
    <t>2-10</t>
  </si>
  <si>
    <t>DDC4CY-002732</t>
  </si>
  <si>
    <t>1HMTH54</t>
  </si>
  <si>
    <t>2-11</t>
  </si>
  <si>
    <t>DDC4CY-002588</t>
  </si>
  <si>
    <t>C8LH014</t>
  </si>
  <si>
    <t>2-12</t>
  </si>
  <si>
    <t>DDC4CY-002537</t>
  </si>
  <si>
    <t>72NH014</t>
  </si>
  <si>
    <t>2-13</t>
  </si>
  <si>
    <t>DDC4CY-002519</t>
  </si>
  <si>
    <t>7GNH014</t>
  </si>
  <si>
    <t>2-14</t>
  </si>
  <si>
    <t>DDC4CY-002511</t>
  </si>
  <si>
    <t>1WNH014</t>
  </si>
  <si>
    <t>2-15</t>
  </si>
  <si>
    <t>DDC4CY-002755</t>
  </si>
  <si>
    <t>3RMTH54</t>
  </si>
  <si>
    <t>2-16</t>
  </si>
  <si>
    <t>DDC4CY-002579</t>
  </si>
  <si>
    <t>1JNH014</t>
  </si>
  <si>
    <t>2-17</t>
  </si>
  <si>
    <t>DDC4CY-002754</t>
  </si>
  <si>
    <t>BMMTH54</t>
  </si>
  <si>
    <t>2-18</t>
  </si>
  <si>
    <t>DDC4CY-002757</t>
  </si>
  <si>
    <t>DLMTH54</t>
  </si>
  <si>
    <t>2-19</t>
  </si>
  <si>
    <t>DDC4CY-002608</t>
  </si>
  <si>
    <t>HSLH014</t>
  </si>
  <si>
    <t>2-20</t>
  </si>
  <si>
    <t>DDC4CY-002611</t>
  </si>
  <si>
    <t>1YLH014</t>
  </si>
  <si>
    <t>2-21</t>
  </si>
  <si>
    <t>DDC4CY-002763</t>
  </si>
  <si>
    <t>DRMTH54</t>
  </si>
  <si>
    <t>2-22</t>
  </si>
  <si>
    <t>DDC4CY-002627</t>
  </si>
  <si>
    <t>73MH014</t>
  </si>
  <si>
    <t>2-23</t>
  </si>
  <si>
    <t>DDC4CY-002557</t>
  </si>
  <si>
    <t>CFLH014</t>
  </si>
  <si>
    <t>2-24</t>
  </si>
  <si>
    <t>DDC4CY-002631</t>
  </si>
  <si>
    <t>JWMH014</t>
  </si>
  <si>
    <t>2-25</t>
  </si>
  <si>
    <t>DDC4CY-002613</t>
  </si>
  <si>
    <t>3RLH014</t>
  </si>
  <si>
    <t>2-26</t>
  </si>
  <si>
    <t>DDC4CY-002623</t>
  </si>
  <si>
    <t>H8LH014</t>
  </si>
  <si>
    <t>2-27</t>
  </si>
  <si>
    <t>DDC4CY-002684</t>
  </si>
  <si>
    <t>D2NH014</t>
  </si>
  <si>
    <t>2-28</t>
  </si>
  <si>
    <t>DDC4CY-002644</t>
  </si>
  <si>
    <t>FYMH014</t>
  </si>
  <si>
    <t>2-29</t>
  </si>
  <si>
    <t>DDC4CY-002539</t>
  </si>
  <si>
    <t>96NH014</t>
  </si>
  <si>
    <t>2-30</t>
  </si>
  <si>
    <t>DDC4CY-002538</t>
  </si>
  <si>
    <t>93NH014</t>
  </si>
  <si>
    <t>3-1</t>
  </si>
  <si>
    <t>DDC4CY-002548</t>
  </si>
  <si>
    <t>9ZNH014</t>
  </si>
  <si>
    <t>3-2</t>
  </si>
  <si>
    <t>DDC4CY-002653</t>
  </si>
  <si>
    <t>26MH014</t>
  </si>
  <si>
    <t>3-3</t>
  </si>
  <si>
    <t>DDC4CY-002620</t>
  </si>
  <si>
    <t>1CLH014</t>
  </si>
  <si>
    <t>3-4</t>
  </si>
  <si>
    <t>DDC4CY-002648</t>
  </si>
  <si>
    <t>GWMH014</t>
  </si>
  <si>
    <t>3-5</t>
  </si>
  <si>
    <t>DDC4CY-002525</t>
  </si>
  <si>
    <t>58NH014</t>
  </si>
  <si>
    <t>3-6</t>
  </si>
  <si>
    <t>DDC4CY-002521</t>
  </si>
  <si>
    <t>6FNH014</t>
  </si>
  <si>
    <t>3-7</t>
  </si>
  <si>
    <t>DDC4CY-002586</t>
  </si>
  <si>
    <t>BBMH014</t>
  </si>
  <si>
    <t>3-8</t>
  </si>
  <si>
    <t>DDC4CY-002513</t>
  </si>
  <si>
    <t>8FNH014</t>
  </si>
  <si>
    <t>3-9</t>
  </si>
  <si>
    <t>DDC4CY-002657</t>
  </si>
  <si>
    <t>JYMH014</t>
  </si>
  <si>
    <t>3-10</t>
  </si>
  <si>
    <t>DDC4CY-002593</t>
  </si>
  <si>
    <t>7GMH014</t>
  </si>
  <si>
    <t>3-11</t>
  </si>
  <si>
    <t>DDC4CY-002654</t>
  </si>
  <si>
    <t>3-12</t>
  </si>
  <si>
    <t>DDC4CY-002661</t>
  </si>
  <si>
    <t>76MH014</t>
  </si>
  <si>
    <t>3-13</t>
  </si>
  <si>
    <t>DDC4CY-002741</t>
  </si>
  <si>
    <t>HNMTH54</t>
  </si>
  <si>
    <t>3-14</t>
  </si>
  <si>
    <t>DDC4CY-002656</t>
  </si>
  <si>
    <t>D5MH014</t>
  </si>
  <si>
    <t>3-15</t>
  </si>
  <si>
    <t>DDC4CY-002683</t>
  </si>
  <si>
    <t>DFNH014</t>
  </si>
  <si>
    <t>3-16</t>
  </si>
  <si>
    <t>DDC4CY-002565</t>
  </si>
  <si>
    <t>6FMH014</t>
  </si>
  <si>
    <t>3-17</t>
  </si>
  <si>
    <t>DDC4CY-002679</t>
  </si>
  <si>
    <t>4XMH014</t>
  </si>
  <si>
    <t>3-18</t>
  </si>
  <si>
    <t>DDC4CY-002625</t>
  </si>
  <si>
    <t>59LH014</t>
  </si>
  <si>
    <t>3-19</t>
  </si>
  <si>
    <t>DDC4CY-002756</t>
  </si>
  <si>
    <t>6MMTH54</t>
  </si>
  <si>
    <t>3-20</t>
  </si>
  <si>
    <t>DDC4CY-002552</t>
  </si>
  <si>
    <t>41NH014</t>
  </si>
  <si>
    <t>3-21</t>
  </si>
  <si>
    <t>DDC4CY-002777</t>
  </si>
  <si>
    <t>FKMTH54</t>
  </si>
  <si>
    <t>3-22</t>
  </si>
  <si>
    <t>DDC4CY-002556</t>
  </si>
  <si>
    <t>5FLH014</t>
  </si>
  <si>
    <t>3-23</t>
  </si>
  <si>
    <t>DDC4CY-002682</t>
  </si>
  <si>
    <t>CZLH014</t>
  </si>
  <si>
    <t>3-24</t>
  </si>
  <si>
    <t>DDC4CY-002534</t>
  </si>
  <si>
    <t>D1NH014</t>
  </si>
  <si>
    <t>3-25</t>
  </si>
  <si>
    <t>DDC4CY-002744</t>
  </si>
  <si>
    <t>9LMTH54</t>
  </si>
  <si>
    <t>3-26</t>
  </si>
  <si>
    <t>DDC4CY-002667</t>
  </si>
  <si>
    <t>2PLH014</t>
  </si>
  <si>
    <t>3-27</t>
  </si>
  <si>
    <t>DDC4CY-002524</t>
  </si>
  <si>
    <t>H6NH014</t>
  </si>
  <si>
    <t>3-28</t>
  </si>
  <si>
    <t>DDC4CY-002567</t>
  </si>
  <si>
    <t>4GMH014</t>
  </si>
  <si>
    <t>3-29</t>
  </si>
  <si>
    <t>DDC4CY-002510</t>
  </si>
  <si>
    <t>97NH014</t>
  </si>
  <si>
    <t>3-30</t>
  </si>
  <si>
    <t>DDC4CY-002517</t>
  </si>
  <si>
    <t>4DNH014</t>
  </si>
  <si>
    <t>4-1</t>
  </si>
  <si>
    <t>DDC4CY-002523</t>
  </si>
  <si>
    <t>HGNH014</t>
  </si>
  <si>
    <t>4-2</t>
  </si>
  <si>
    <t>DDC4CY-002589</t>
  </si>
  <si>
    <t>C3NH014</t>
  </si>
  <si>
    <t>4-3</t>
  </si>
  <si>
    <t>DDC4CY-002591</t>
  </si>
  <si>
    <t>CKNH014</t>
  </si>
  <si>
    <t>4-4</t>
  </si>
  <si>
    <t>DDC4CY-002633</t>
  </si>
  <si>
    <t>68MH014</t>
  </si>
  <si>
    <t>4-5</t>
  </si>
  <si>
    <t>DDC4CY-002672</t>
  </si>
  <si>
    <t>FTLH014</t>
  </si>
  <si>
    <t>4-6</t>
  </si>
  <si>
    <t>DDC4CY-002680</t>
  </si>
  <si>
    <t>9WLH014</t>
  </si>
  <si>
    <t>4-7</t>
  </si>
  <si>
    <t>DDC4CY-002646</t>
  </si>
  <si>
    <t>94MH014</t>
  </si>
  <si>
    <t>4-8</t>
  </si>
  <si>
    <t>DDC4CY-002571</t>
  </si>
  <si>
    <t>1GMH014</t>
  </si>
  <si>
    <t>4-9</t>
  </si>
  <si>
    <t>DDC4CY-002772</t>
  </si>
  <si>
    <t>8QMTH54</t>
  </si>
  <si>
    <t>4-10</t>
  </si>
  <si>
    <t>DDC4CY-002535</t>
  </si>
  <si>
    <t>G3NH014</t>
  </si>
  <si>
    <t>4-11</t>
  </si>
  <si>
    <t>DDC4CY-002584</t>
  </si>
  <si>
    <t>J4MH014</t>
  </si>
  <si>
    <t>4-12</t>
  </si>
  <si>
    <t>DDC4CY-002609</t>
  </si>
  <si>
    <t>FSLH014</t>
  </si>
  <si>
    <t>4-13</t>
  </si>
  <si>
    <t>DDC4CY-002509</t>
  </si>
  <si>
    <t>18NH014</t>
  </si>
  <si>
    <t>4-14</t>
  </si>
  <si>
    <t>DDC4CY-002639</t>
  </si>
  <si>
    <t>7YMH014</t>
  </si>
  <si>
    <t>4-15</t>
  </si>
  <si>
    <t>DDC4CY-002514</t>
  </si>
  <si>
    <t>9DNH014</t>
  </si>
  <si>
    <t>4-16</t>
  </si>
  <si>
    <t>DDC4CY-002512</t>
  </si>
  <si>
    <t>FBLH014</t>
  </si>
  <si>
    <t>4-17</t>
  </si>
  <si>
    <t>DDC4CY-002590</t>
  </si>
  <si>
    <t>5FMH014</t>
  </si>
  <si>
    <t>4-18</t>
  </si>
  <si>
    <t>DDC4CY-002569</t>
  </si>
  <si>
    <t>HFMH014</t>
  </si>
  <si>
    <t>4-19</t>
  </si>
  <si>
    <t>DDC4CY-002551</t>
  </si>
  <si>
    <t>G1NH014</t>
  </si>
  <si>
    <t>4-20</t>
  </si>
  <si>
    <t>DDC4CY-002580</t>
  </si>
  <si>
    <t>HZMH014</t>
  </si>
  <si>
    <t>4-21</t>
  </si>
  <si>
    <t>DDC4CY-002542</t>
  </si>
  <si>
    <t>J2NH014</t>
  </si>
  <si>
    <t>4-22</t>
  </si>
  <si>
    <t>DDC4CY-002562</t>
  </si>
  <si>
    <t>HYMH014</t>
  </si>
  <si>
    <t>4-23</t>
  </si>
  <si>
    <t>DDC4CY-002572</t>
  </si>
  <si>
    <t>GNLH014</t>
  </si>
  <si>
    <t>4-24</t>
  </si>
  <si>
    <t>DDC4CY-002743</t>
  </si>
  <si>
    <t>2LMTH54</t>
  </si>
  <si>
    <t>4-25</t>
  </si>
  <si>
    <t>DDC4CY-002597</t>
  </si>
  <si>
    <t>32NH014</t>
  </si>
  <si>
    <t>4-26</t>
  </si>
  <si>
    <t>DDC4CY-002771</t>
  </si>
  <si>
    <t>CPMTH54</t>
  </si>
  <si>
    <t>4-27</t>
  </si>
  <si>
    <t>DDC4CY-002676</t>
  </si>
  <si>
    <t>6KLH014</t>
  </si>
  <si>
    <t>4-28</t>
  </si>
  <si>
    <t>DDC4CY-002587</t>
  </si>
  <si>
    <t>C9LH014</t>
  </si>
  <si>
    <t>4-29</t>
  </si>
  <si>
    <t>DDC4CY-002518</t>
  </si>
  <si>
    <t>2GNH014</t>
  </si>
  <si>
    <t>4-30</t>
  </si>
  <si>
    <t>DDC4CY-002749</t>
  </si>
  <si>
    <t>3SMTH54</t>
  </si>
  <si>
    <t>5-1</t>
  </si>
  <si>
    <t>DDC4CY-002622</t>
  </si>
  <si>
    <t>8DLH014</t>
  </si>
  <si>
    <t>5-2</t>
  </si>
  <si>
    <t>DDC4CY-002658</t>
  </si>
  <si>
    <t>DWMH014</t>
  </si>
  <si>
    <t>5-3</t>
  </si>
  <si>
    <t>DDC4CY-002759</t>
  </si>
  <si>
    <t>8JMTH54</t>
  </si>
  <si>
    <t>5-4</t>
  </si>
  <si>
    <t>DDC4CY-002541</t>
  </si>
  <si>
    <t>35NH014</t>
  </si>
  <si>
    <t>5-5</t>
  </si>
  <si>
    <t>DDC4CY-002671</t>
  </si>
  <si>
    <t>3MLH014</t>
  </si>
  <si>
    <t>5-6</t>
  </si>
  <si>
    <t>DDC4CY-002652</t>
  </si>
  <si>
    <t>32MH014</t>
  </si>
  <si>
    <t>5-7</t>
  </si>
  <si>
    <t>DDC4CY-002810</t>
  </si>
  <si>
    <t>2DMTH54</t>
  </si>
  <si>
    <t>5-8</t>
  </si>
  <si>
    <t>DDC4CY-002678</t>
  </si>
  <si>
    <t>7HNH014</t>
  </si>
  <si>
    <t>5-9</t>
  </si>
  <si>
    <t>DDC4CY-002681</t>
  </si>
  <si>
    <t>BXMH014</t>
  </si>
  <si>
    <t>5-10</t>
  </si>
  <si>
    <t>DDC4CY-002739</t>
  </si>
  <si>
    <t>JRMTH54</t>
  </si>
  <si>
    <t>5-11</t>
  </si>
  <si>
    <t>DDC4CY-002735</t>
  </si>
  <si>
    <t>7FMTH54</t>
  </si>
  <si>
    <t>5-12</t>
  </si>
  <si>
    <t>DDC4CY-002665</t>
  </si>
  <si>
    <t>2XLH014</t>
  </si>
  <si>
    <t>5-13</t>
  </si>
  <si>
    <t>DDC4CY-002765</t>
  </si>
  <si>
    <t>6PMTH54</t>
  </si>
  <si>
    <t>5-14</t>
  </si>
  <si>
    <t>DDC4CY-002753</t>
  </si>
  <si>
    <t>1PMTH54</t>
  </si>
  <si>
    <t>5-15</t>
  </si>
  <si>
    <t>DDC4CY-002605</t>
  </si>
  <si>
    <t>6TLH014</t>
  </si>
  <si>
    <t>5-16</t>
  </si>
  <si>
    <t>DDC4CY-002612</t>
  </si>
  <si>
    <t>FQLH014</t>
  </si>
  <si>
    <t>5-17</t>
  </si>
  <si>
    <t>DDC4CY-002606</t>
  </si>
  <si>
    <t>HPLH014</t>
  </si>
  <si>
    <t>5-18</t>
  </si>
  <si>
    <t>DDC4CY-002530</t>
  </si>
  <si>
    <t>B9NH014</t>
  </si>
  <si>
    <t>5-19</t>
  </si>
  <si>
    <t>DDC4CY-002550</t>
  </si>
  <si>
    <t>12NH014</t>
  </si>
  <si>
    <t>5-20</t>
  </si>
  <si>
    <t>DDC4CY-002629</t>
  </si>
  <si>
    <t>6WMH014</t>
  </si>
  <si>
    <t>5-21</t>
  </si>
  <si>
    <t>DDC4CY-002522</t>
  </si>
  <si>
    <t>BGNH014</t>
  </si>
  <si>
    <t>5-22</t>
  </si>
  <si>
    <t>DDC4CY-002595</t>
  </si>
  <si>
    <t>G8NH014</t>
  </si>
  <si>
    <t>5-23</t>
  </si>
  <si>
    <t>DDC4CY-002574</t>
  </si>
  <si>
    <t>5DMH014</t>
  </si>
  <si>
    <t>5-24</t>
  </si>
  <si>
    <t>DDC4CY-002540</t>
  </si>
  <si>
    <t>74NH014</t>
  </si>
  <si>
    <t>5-25</t>
  </si>
  <si>
    <t>DDC4CY-002520</t>
  </si>
  <si>
    <t>DHNH014</t>
  </si>
  <si>
    <t>5-26</t>
  </si>
  <si>
    <t>DDC4CY-002733</t>
  </si>
  <si>
    <t>2FMTH54</t>
  </si>
  <si>
    <t>5-27</t>
  </si>
  <si>
    <t>DDC4CY-002745</t>
  </si>
  <si>
    <t>7LMTH54</t>
  </si>
  <si>
    <t>5-28</t>
  </si>
  <si>
    <t>DDC4CY-002775</t>
  </si>
  <si>
    <t>3JMTH54</t>
  </si>
  <si>
    <t>5-29</t>
  </si>
  <si>
    <t>DDC4CY-002655</t>
  </si>
  <si>
    <t>79MH014</t>
  </si>
  <si>
    <t>5-30</t>
  </si>
  <si>
    <t>DDC4CY-002758</t>
  </si>
  <si>
    <t>1MMTH54</t>
  </si>
  <si>
    <t>6-1</t>
  </si>
  <si>
    <t>DDC4CY-002752</t>
  </si>
  <si>
    <t>5QMTH54</t>
  </si>
  <si>
    <t>6-2</t>
  </si>
  <si>
    <t>DDC4CY-002642</t>
  </si>
  <si>
    <t>3ZMH014</t>
  </si>
  <si>
    <t>6-3</t>
  </si>
  <si>
    <t>DDC4CY-002638</t>
  </si>
  <si>
    <t>GXMH014</t>
  </si>
  <si>
    <t>6-4</t>
  </si>
  <si>
    <t>DDC4CY-002619</t>
  </si>
  <si>
    <t>GDLH014</t>
  </si>
  <si>
    <t>6-5</t>
  </si>
  <si>
    <t>DDC4CY-002594</t>
  </si>
  <si>
    <t>10NH014</t>
  </si>
  <si>
    <t>6-6</t>
  </si>
  <si>
    <t>DDC4CY-002674</t>
  </si>
  <si>
    <t>9NLH014</t>
  </si>
  <si>
    <t>6-7</t>
  </si>
  <si>
    <t>DDC4CY-002555</t>
  </si>
  <si>
    <t>1HLH014</t>
  </si>
  <si>
    <t>6-8</t>
  </si>
  <si>
    <t>DDC4CY-002617</t>
  </si>
  <si>
    <t>5CLH014</t>
  </si>
  <si>
    <t>6-9</t>
  </si>
  <si>
    <t>DDC4CY-002585</t>
  </si>
  <si>
    <t>5GMH014</t>
  </si>
  <si>
    <t>6-10</t>
  </si>
  <si>
    <t>DDC4CY-002536</t>
  </si>
  <si>
    <t>14NH014</t>
  </si>
  <si>
    <t>6-11</t>
  </si>
  <si>
    <t>DDC4CY-002794</t>
  </si>
  <si>
    <t>DCMTH54</t>
  </si>
  <si>
    <t>6-12</t>
  </si>
  <si>
    <t>DDC4CY-002575</t>
  </si>
  <si>
    <t>DDMH014</t>
  </si>
  <si>
    <t>6-13</t>
  </si>
  <si>
    <t>DDC4CY-002515</t>
  </si>
  <si>
    <t>2HNH014</t>
  </si>
  <si>
    <t>6-14</t>
  </si>
  <si>
    <t>DDC4CY-002516</t>
  </si>
  <si>
    <t>FCNH014</t>
  </si>
  <si>
    <t>6-15</t>
  </si>
  <si>
    <t>DDC4CY-002628</t>
  </si>
  <si>
    <t>5BMH014</t>
  </si>
  <si>
    <t>6-16</t>
  </si>
  <si>
    <t>DDC4CY-002650</t>
  </si>
  <si>
    <t>G7MH014</t>
  </si>
  <si>
    <t>6-17</t>
  </si>
  <si>
    <t>DDC4CY-002531</t>
  </si>
  <si>
    <t>92NH014</t>
  </si>
  <si>
    <t>6-18</t>
  </si>
  <si>
    <t>DDC4CY-002560</t>
  </si>
  <si>
    <t>2GMH014</t>
  </si>
  <si>
    <t>7-1</t>
  </si>
  <si>
    <t>DDC4CY-002543</t>
  </si>
  <si>
    <t>H0NH014</t>
  </si>
  <si>
    <t>7-2</t>
  </si>
  <si>
    <t>DDC4CY-002558</t>
  </si>
  <si>
    <t>2JLH014</t>
  </si>
  <si>
    <t>7-3</t>
  </si>
  <si>
    <t>DDC4CY-002532</t>
  </si>
  <si>
    <t>16NH014</t>
  </si>
  <si>
    <t>7-4</t>
  </si>
  <si>
    <t>DDC4CY-002624</t>
  </si>
  <si>
    <t>DHLH014</t>
  </si>
  <si>
    <t>7-5</t>
  </si>
  <si>
    <t>DDC4CY-002666</t>
  </si>
  <si>
    <t>8WMH014</t>
  </si>
  <si>
    <t>7-6</t>
  </si>
  <si>
    <t>DDC4CY-002546</t>
  </si>
  <si>
    <t>81NH014</t>
  </si>
  <si>
    <t>7-7</t>
  </si>
  <si>
    <t>DDC4CY-002592</t>
  </si>
  <si>
    <t>39NH014</t>
  </si>
  <si>
    <t>7-8</t>
  </si>
  <si>
    <t>DDC4CY-002581</t>
  </si>
  <si>
    <t>G7NH014</t>
  </si>
  <si>
    <t>7-9</t>
  </si>
  <si>
    <t>DDC4CY-002664</t>
  </si>
  <si>
    <t>7LLH014</t>
  </si>
  <si>
    <t>7-10</t>
  </si>
  <si>
    <t>DDC4CY-002641</t>
  </si>
  <si>
    <t>2ZMH014</t>
  </si>
  <si>
    <t>7-11</t>
  </si>
  <si>
    <t>DDC4CY-002736</t>
  </si>
  <si>
    <t>BQMTH54</t>
  </si>
  <si>
    <t>7-12</t>
  </si>
  <si>
    <t>DDC4CY-002748</t>
  </si>
  <si>
    <t>HLMTH54</t>
  </si>
  <si>
    <t>7-13</t>
  </si>
  <si>
    <t>DDC4CY-002545</t>
  </si>
  <si>
    <t>6ZNH014</t>
  </si>
  <si>
    <t>7-14</t>
  </si>
  <si>
    <t>DDC4CY-002563</t>
  </si>
  <si>
    <t>DFMH014</t>
  </si>
  <si>
    <t>7-15</t>
  </si>
  <si>
    <t>DDC4CY-002568</t>
  </si>
  <si>
    <t>9GLH014</t>
  </si>
  <si>
    <t>7-16</t>
  </si>
  <si>
    <t>DDC4CY-002601</t>
  </si>
  <si>
    <t>JCMH014</t>
  </si>
  <si>
    <t>7-17</t>
  </si>
  <si>
    <t>DDC4CY-002635</t>
  </si>
  <si>
    <t>2YMH014</t>
  </si>
  <si>
    <t>7-18</t>
  </si>
  <si>
    <t>DDC4CY-002598</t>
  </si>
  <si>
    <t>HRLH014</t>
  </si>
  <si>
    <t>8-1</t>
  </si>
  <si>
    <t>DDC4CY-002746</t>
  </si>
  <si>
    <t>8SMTH54</t>
  </si>
  <si>
    <t>8-2</t>
  </si>
  <si>
    <t>DDC4CY-002675</t>
  </si>
  <si>
    <t>3GMH014</t>
  </si>
  <si>
    <t>8-3</t>
  </si>
  <si>
    <t>DDC4CY-002553</t>
  </si>
  <si>
    <t>C0NH014</t>
  </si>
  <si>
    <t>8-4</t>
  </si>
  <si>
    <t>DDC4CY-002527</t>
  </si>
  <si>
    <t>7BNH014</t>
  </si>
  <si>
    <t>8-5</t>
  </si>
  <si>
    <t>DDC4CY-002800</t>
  </si>
  <si>
    <t>DGMTH54</t>
  </si>
  <si>
    <t>8-6</t>
  </si>
  <si>
    <t>DDC4CY-002750</t>
  </si>
  <si>
    <t>4NMTH54</t>
  </si>
  <si>
    <t>8-7</t>
  </si>
  <si>
    <t>DDC4CY-002621</t>
  </si>
  <si>
    <t>4DLH014</t>
  </si>
  <si>
    <t>8-8</t>
  </si>
  <si>
    <t>DDC4CY-002636</t>
  </si>
  <si>
    <t>8XMH014</t>
  </si>
  <si>
    <t>8-9</t>
  </si>
  <si>
    <t>DDC4CY-002647</t>
  </si>
  <si>
    <t>23MH014</t>
  </si>
  <si>
    <t>8-10</t>
  </si>
  <si>
    <t>DDC4CY-002742</t>
  </si>
  <si>
    <t>5FMTH54</t>
  </si>
  <si>
    <t>8-11</t>
  </si>
  <si>
    <t>DDC4CY-002762</t>
  </si>
  <si>
    <t>5JMTH54</t>
  </si>
  <si>
    <t>8-12</t>
  </si>
  <si>
    <t>DDC4CY-002600</t>
  </si>
  <si>
    <t>1DLH014</t>
  </si>
  <si>
    <t>8-13</t>
  </si>
  <si>
    <t>DDC4CY-002640</t>
  </si>
  <si>
    <t>H9MH014</t>
  </si>
  <si>
    <t>8-14</t>
  </si>
  <si>
    <t>DDC4CY-002610</t>
  </si>
  <si>
    <t>3WLH014</t>
  </si>
  <si>
    <t>8-15</t>
  </si>
  <si>
    <t>DDC4CY-002686</t>
  </si>
  <si>
    <t>8GMH014</t>
  </si>
  <si>
    <t>8-16</t>
  </si>
  <si>
    <t>DDC4CY-002578</t>
  </si>
  <si>
    <t>4FMH014</t>
  </si>
  <si>
    <t>8-17</t>
  </si>
  <si>
    <t>DDC4CY-002760</t>
  </si>
  <si>
    <t>FY8ZL54</t>
  </si>
  <si>
    <t>8-18</t>
  </si>
  <si>
    <t>DDC4CY-002616</t>
  </si>
  <si>
    <t>2BLH014</t>
  </si>
  <si>
    <t>013-1</t>
  </si>
  <si>
    <t>DDC4CY-002406</t>
  </si>
  <si>
    <t>J7M0GZ3</t>
  </si>
  <si>
    <t>Precision 7780</t>
  </si>
  <si>
    <t>013-2</t>
  </si>
  <si>
    <t>DDC4CY-002378</t>
  </si>
  <si>
    <t>D4M0GZ3</t>
  </si>
  <si>
    <t>013-3</t>
  </si>
  <si>
    <t>DDC4CY-002420</t>
  </si>
  <si>
    <t>D3M0GZ3</t>
  </si>
  <si>
    <t>013-4</t>
  </si>
  <si>
    <t>DDC4CY-002407</t>
  </si>
  <si>
    <t>3BM0GZ3</t>
  </si>
  <si>
    <t>013-5</t>
  </si>
  <si>
    <t>DDC4CY-002374</t>
  </si>
  <si>
    <t>15M0GZ3</t>
  </si>
  <si>
    <t>013-6</t>
  </si>
  <si>
    <t>DDC4CY-002424</t>
  </si>
  <si>
    <t>C8M0GZ3</t>
  </si>
  <si>
    <t>013-7</t>
  </si>
  <si>
    <t>DDC4CY-002417</t>
  </si>
  <si>
    <t>D7M0GZ3</t>
  </si>
  <si>
    <t>013-8</t>
  </si>
  <si>
    <t>DDC4CY-002411</t>
  </si>
  <si>
    <t>J8M0GZ3</t>
  </si>
  <si>
    <t>013-9</t>
  </si>
  <si>
    <t>DDC4CY-002405</t>
  </si>
  <si>
    <t>C9M0GZ3</t>
  </si>
  <si>
    <t>013-10</t>
  </si>
  <si>
    <t>DDC4CY-002414</t>
  </si>
  <si>
    <t>79M0GZ3</t>
  </si>
  <si>
    <t>014-1</t>
  </si>
  <si>
    <t>DDC4CY-002404</t>
  </si>
  <si>
    <t>H8B0GZ3</t>
  </si>
  <si>
    <t>014-2</t>
  </si>
  <si>
    <t>DDC4CY-002409</t>
  </si>
  <si>
    <t>63M0GZ3</t>
  </si>
  <si>
    <t>014-3</t>
  </si>
  <si>
    <t>DDC4CY-002415</t>
  </si>
  <si>
    <t>38M0GZ3</t>
  </si>
  <si>
    <t>014-4</t>
  </si>
  <si>
    <t>DDC4CY-002423</t>
  </si>
  <si>
    <t>77M0GZ3</t>
  </si>
  <si>
    <t>014-5</t>
  </si>
  <si>
    <t>DDC4CY-002795</t>
  </si>
  <si>
    <t>JHMTH54</t>
  </si>
  <si>
    <t>AC-B4-80-45-6C-65</t>
  </si>
  <si>
    <t>014-6</t>
  </si>
  <si>
    <t>DDC4CY-002670</t>
  </si>
  <si>
    <t>BRLH014</t>
  </si>
  <si>
    <t>10-98-19-4A-52-67</t>
  </si>
  <si>
    <t>014-7</t>
  </si>
  <si>
    <t>DDC4CY-002779</t>
  </si>
  <si>
    <t>HCMTH54</t>
  </si>
  <si>
    <t>AC-B4-80-45-6C-2B</t>
  </si>
  <si>
    <t>288 2C1D</t>
  </si>
  <si>
    <t>015-1</t>
  </si>
  <si>
    <t>DDC4CY-002422</t>
  </si>
  <si>
    <t>37M0GZ3</t>
  </si>
  <si>
    <t>10-98-19-48-71-3C</t>
  </si>
  <si>
    <t>015-2</t>
  </si>
  <si>
    <t>DDC4CY-002630</t>
  </si>
  <si>
    <t>9GMH014</t>
  </si>
  <si>
    <t>10-98-19-4A-52-C5</t>
  </si>
  <si>
    <t>015-3</t>
  </si>
  <si>
    <t>DDC4CY-002408</t>
  </si>
  <si>
    <t>6BM0GZ3</t>
  </si>
  <si>
    <t>10-98-19-48-71-C3</t>
  </si>
  <si>
    <t>015-5</t>
  </si>
  <si>
    <t>DDC4CY-002602</t>
  </si>
  <si>
    <t>77MH014</t>
  </si>
  <si>
    <t>10-98-19-4A-51-D9</t>
  </si>
  <si>
    <t>015-6</t>
  </si>
  <si>
    <t>DDC4CY-002669</t>
  </si>
  <si>
    <t>9XLH014</t>
  </si>
  <si>
    <t>10-98-19-4A-51-06</t>
  </si>
  <si>
    <t>015-7</t>
  </si>
  <si>
    <t>DDC4CY-002421</t>
  </si>
  <si>
    <t>B4M0GZ3</t>
  </si>
  <si>
    <t>10-98-19-48-64-12</t>
  </si>
  <si>
    <t>015-8</t>
  </si>
  <si>
    <t>DDC4CY-002660</t>
  </si>
  <si>
    <t>C1MH014</t>
  </si>
  <si>
    <t>10-98-19-4A-65-D1</t>
  </si>
  <si>
    <t>015-9</t>
  </si>
  <si>
    <t>DDC4CY-002412</t>
  </si>
  <si>
    <t>29M0GZ3</t>
  </si>
  <si>
    <t>10-98-19-48-63-AD</t>
  </si>
  <si>
    <t>015-10</t>
  </si>
  <si>
    <t>DDC4CY-002425</t>
  </si>
  <si>
    <t>H3M0GZ3</t>
  </si>
  <si>
    <t>10-98-19-48-71-88</t>
  </si>
  <si>
    <t>015-11</t>
  </si>
  <si>
    <t>DDC4CY-002547</t>
  </si>
  <si>
    <t>60NH014</t>
  </si>
  <si>
    <t>10-98-19-4A-52-06</t>
  </si>
  <si>
    <t>015-12</t>
  </si>
  <si>
    <t>DDC4CY-002377</t>
  </si>
  <si>
    <t>B7M0GZ3</t>
  </si>
  <si>
    <t>10-98-19-4a-52-67</t>
  </si>
  <si>
    <t>016-1</t>
  </si>
  <si>
    <t>DDC4CY-002370</t>
  </si>
  <si>
    <t>2TK84402SP</t>
  </si>
  <si>
    <t>00-BB-60-B8-D8-73</t>
  </si>
  <si>
    <t>Hewlett Packard</t>
  </si>
  <si>
    <t>Zbook 15 G4</t>
  </si>
  <si>
    <t>016-2</t>
  </si>
  <si>
    <t>DDC4CY-002227</t>
  </si>
  <si>
    <t>2TK84400G2</t>
  </si>
  <si>
    <t>00-BB-60-4B-6A-45</t>
  </si>
  <si>
    <t>016-3</t>
  </si>
  <si>
    <t>DDC4CY-002260</t>
  </si>
  <si>
    <t>2TK84402SF</t>
  </si>
  <si>
    <t>00-BB-60-B8-DC-6F</t>
  </si>
  <si>
    <t>016-4</t>
  </si>
  <si>
    <t>DDC4CY-002312</t>
  </si>
  <si>
    <t>2TK84402PY</t>
  </si>
  <si>
    <t>00-BB-60-B8-CD-65</t>
  </si>
  <si>
    <t>016-5</t>
  </si>
  <si>
    <t>DDC4CY-002564</t>
  </si>
  <si>
    <t>7FMH014</t>
  </si>
  <si>
    <t>016-6</t>
  </si>
  <si>
    <t>DDC4CY-002615</t>
  </si>
  <si>
    <t>7YLH014</t>
  </si>
  <si>
    <t>016-7</t>
  </si>
  <si>
    <t>DDC4CY-002376</t>
  </si>
  <si>
    <t>61M0GZ3</t>
  </si>
  <si>
    <t>10-98-19-48-71-94</t>
  </si>
  <si>
    <t>016-8</t>
  </si>
  <si>
    <t>DDC4CY-002470</t>
  </si>
  <si>
    <t>7VMG054</t>
  </si>
  <si>
    <t>10-98-19-48-90-DA</t>
  </si>
  <si>
    <t>111-1</t>
  </si>
  <si>
    <t>DDC4CY-000739</t>
  </si>
  <si>
    <t>2YN9Q92</t>
  </si>
  <si>
    <t>84-7B-EB-11-60-20</t>
  </si>
  <si>
    <t>Precision 7510</t>
  </si>
  <si>
    <t>111-2</t>
  </si>
  <si>
    <t>DDC4CY-000754</t>
  </si>
  <si>
    <t>2VN9Q92</t>
  </si>
  <si>
    <t>84-7B-EB-11-60-A6</t>
  </si>
  <si>
    <t>111-3</t>
  </si>
  <si>
    <t>DDC4CY-001468</t>
  </si>
  <si>
    <t>5SR32N2</t>
  </si>
  <si>
    <t>10-65-30-1F-C9-51</t>
  </si>
  <si>
    <t>Latitude 5490</t>
  </si>
  <si>
    <t>111-4</t>
  </si>
  <si>
    <t>DJJ021-038422</t>
  </si>
  <si>
    <t>3NCFZQ2</t>
  </si>
  <si>
    <t>10-65-30-F0-B5-EB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</si>
</sst>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d365-my.sharepoint-mil.us/personal/gregory_a_curl_ctr_mail_mil/Documents/Desktop/BQ26%20laptop%20source%20of%20truth%20v1.2.xlsx" TargetMode="External"/><Relationship Id="rId1" Type="http://schemas.openxmlformats.org/officeDocument/2006/relationships/externalLinkPath" Target="BQ26%20laptop%20source%20of%20truth%20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Q25_laptop_data_mod"/>
      <sheetName val="BQ26 main inventory data"/>
      <sheetName val="BQ25 laptop data (orig)"/>
    </sheetNames>
    <sheetDataSet>
      <sheetData sheetId="0">
        <row r="1">
          <cell r="A1" t="str">
            <v>ASSET TAG</v>
          </cell>
          <cell r="B1" t="str">
            <v>S/N</v>
          </cell>
          <cell r="C1" t="str">
            <v>MAC</v>
          </cell>
        </row>
        <row r="2">
          <cell r="A2" t="str">
            <v>DDC4CY002374</v>
          </cell>
          <cell r="B2" t="str">
            <v>15M0GZ3</v>
          </cell>
          <cell r="C2" t="str">
            <v>10-98-19-48-71-87</v>
          </cell>
        </row>
        <row r="3">
          <cell r="A3" t="str">
            <v>DDC4CY002378</v>
          </cell>
          <cell r="B3" t="str">
            <v>D4M0GZ3</v>
          </cell>
          <cell r="C3" t="str">
            <v>10-98-19-48-71-86</v>
          </cell>
        </row>
        <row r="4">
          <cell r="A4" t="str">
            <v>DDC4CY002404</v>
          </cell>
          <cell r="B4" t="str">
            <v>H8B0GZ3</v>
          </cell>
          <cell r="C4" t="str">
            <v>10-98-19-48-71-1B</v>
          </cell>
        </row>
        <row r="5">
          <cell r="A5" t="str">
            <v>DDC4CY002405</v>
          </cell>
          <cell r="B5" t="str">
            <v>C9M0CZ3</v>
          </cell>
          <cell r="C5" t="str">
            <v>10-98-19-48-64-A3</v>
          </cell>
        </row>
        <row r="6">
          <cell r="A6" t="str">
            <v>DDC4CY002406</v>
          </cell>
          <cell r="B6" t="str">
            <v>J7M0GZ3</v>
          </cell>
          <cell r="C6" t="str">
            <v>10-98-19-48-71-36</v>
          </cell>
        </row>
        <row r="7">
          <cell r="A7" t="str">
            <v>DDC4CY002407</v>
          </cell>
          <cell r="B7" t="str">
            <v>3BM0GZ3</v>
          </cell>
          <cell r="C7" t="str">
            <v>10-98-19-48-63-0B</v>
          </cell>
        </row>
        <row r="8">
          <cell r="A8" t="str">
            <v>DDC4CY002409</v>
          </cell>
          <cell r="B8" t="str">
            <v>63M0GZ3</v>
          </cell>
          <cell r="C8" t="str">
            <v>10-98-19-48-70-A2</v>
          </cell>
        </row>
        <row r="9">
          <cell r="A9" t="str">
            <v>DDC4CY002411</v>
          </cell>
          <cell r="B9" t="str">
            <v>J8M0GZ3</v>
          </cell>
          <cell r="C9" t="str">
            <v>10-98-19-48-71-83</v>
          </cell>
        </row>
        <row r="10">
          <cell r="A10" t="str">
            <v>DDC4CY002414</v>
          </cell>
          <cell r="B10" t="str">
            <v>79M0GZ3</v>
          </cell>
          <cell r="C10" t="str">
            <v>10-98-19-48-64-A8</v>
          </cell>
        </row>
        <row r="11">
          <cell r="A11" t="str">
            <v>DDC4CY002415</v>
          </cell>
          <cell r="B11" t="str">
            <v>38M0GZ3</v>
          </cell>
          <cell r="C11" t="str">
            <v>10-98-19-48-71-82</v>
          </cell>
        </row>
        <row r="12">
          <cell r="A12" t="str">
            <v>DDC4CY002417</v>
          </cell>
          <cell r="B12" t="str">
            <v>D7M0GZ3</v>
          </cell>
          <cell r="C12" t="str">
            <v>10-98-19-48-70-A3</v>
          </cell>
        </row>
        <row r="13">
          <cell r="A13" t="str">
            <v>DDC4CY002420</v>
          </cell>
          <cell r="B13" t="str">
            <v>D3M0GZ3</v>
          </cell>
          <cell r="C13" t="str">
            <v>10-98-19-48-64-13</v>
          </cell>
        </row>
        <row r="14">
          <cell r="A14" t="str">
            <v>DDC4CY002423</v>
          </cell>
          <cell r="B14" t="str">
            <v>77M0GZ3</v>
          </cell>
          <cell r="C14" t="str">
            <v>10-98-19-48-71-37</v>
          </cell>
        </row>
        <row r="15">
          <cell r="A15" t="str">
            <v>DDC4CY002424</v>
          </cell>
          <cell r="B15" t="str">
            <v>C8M0GZ3</v>
          </cell>
          <cell r="C15" t="str">
            <v>10-98-19-48-71-BE</v>
          </cell>
        </row>
        <row r="16">
          <cell r="A16" t="str">
            <v>DDC4CY002507</v>
          </cell>
          <cell r="B16" t="str">
            <v>2FNH014</v>
          </cell>
          <cell r="C16" t="str">
            <v>10-98-19-4A-66-5F</v>
          </cell>
        </row>
        <row r="17">
          <cell r="A17" t="str">
            <v>DDC4CY002508</v>
          </cell>
          <cell r="B17" t="str">
            <v>B5NH014</v>
          </cell>
          <cell r="C17" t="str">
            <v>10-98-19-4A-51-25</v>
          </cell>
        </row>
        <row r="18">
          <cell r="A18" t="str">
            <v>DDC4CY002509</v>
          </cell>
          <cell r="B18" t="str">
            <v>18NH014</v>
          </cell>
          <cell r="C18" t="str">
            <v>10-98-19-4A-52-87</v>
          </cell>
        </row>
        <row r="19">
          <cell r="A19" t="str">
            <v>DDC4CY002510</v>
          </cell>
          <cell r="B19" t="str">
            <v>97NH014</v>
          </cell>
          <cell r="C19" t="str">
            <v>10-98-19-4A-67-1D</v>
          </cell>
        </row>
        <row r="20">
          <cell r="A20" t="str">
            <v>DDC4CY002511</v>
          </cell>
          <cell r="B20" t="str">
            <v>1WMH014</v>
          </cell>
          <cell r="C20" t="str">
            <v>10-98-19-4A-52-50</v>
          </cell>
        </row>
        <row r="21">
          <cell r="A21" t="str">
            <v>DDC4CY002512</v>
          </cell>
          <cell r="B21" t="str">
            <v>FBLH014</v>
          </cell>
          <cell r="C21" t="str">
            <v>10-98-19-4A-52-BC</v>
          </cell>
        </row>
        <row r="22">
          <cell r="A22" t="str">
            <v>DDC4CY002513</v>
          </cell>
          <cell r="B22" t="str">
            <v>8FNH014</v>
          </cell>
          <cell r="C22" t="str">
            <v>10-98-19-4A-65-DE</v>
          </cell>
        </row>
        <row r="23">
          <cell r="A23" t="str">
            <v>DDC4CY002514</v>
          </cell>
          <cell r="B23" t="str">
            <v>9DNH014</v>
          </cell>
          <cell r="C23" t="str">
            <v>10-98-19-4A-65-37</v>
          </cell>
        </row>
        <row r="24">
          <cell r="A24" t="str">
            <v>DDC4CY002515</v>
          </cell>
          <cell r="B24" t="str">
            <v>2HNH014</v>
          </cell>
          <cell r="C24" t="str">
            <v>10-98-19-4A-51-35</v>
          </cell>
        </row>
        <row r="25">
          <cell r="A25" t="str">
            <v>DDC4CY002516</v>
          </cell>
          <cell r="B25" t="str">
            <v>FCNH014</v>
          </cell>
          <cell r="C25" t="str">
            <v>10-98-19-4A-51-A5</v>
          </cell>
        </row>
        <row r="26">
          <cell r="A26" t="str">
            <v>DDC4CY002517</v>
          </cell>
          <cell r="B26" t="str">
            <v>4DNH014</v>
          </cell>
          <cell r="C26" t="str">
            <v>10-98-19-4A-51-26</v>
          </cell>
        </row>
        <row r="27">
          <cell r="A27" t="str">
            <v>DDC4CY002518</v>
          </cell>
          <cell r="B27" t="str">
            <v>2GNH014</v>
          </cell>
          <cell r="C27" t="str">
            <v>10-98-19-4A-51-34</v>
          </cell>
        </row>
        <row r="28">
          <cell r="A28" t="str">
            <v>DDC4CY002519</v>
          </cell>
          <cell r="B28" t="str">
            <v>7GNH014</v>
          </cell>
          <cell r="C28" t="str">
            <v>10-98-19-4A-51-B8</v>
          </cell>
        </row>
        <row r="29">
          <cell r="A29" t="str">
            <v>DDC4CY002520</v>
          </cell>
          <cell r="B29" t="str">
            <v>DHNH014</v>
          </cell>
          <cell r="C29" t="str">
            <v>10-98-19-4A-51-1D</v>
          </cell>
        </row>
        <row r="30">
          <cell r="A30" t="str">
            <v>DDC4CY002521</v>
          </cell>
          <cell r="B30" t="str">
            <v>6FNH014</v>
          </cell>
          <cell r="C30" t="str">
            <v>10-98-19-4A-65-81</v>
          </cell>
        </row>
        <row r="31">
          <cell r="A31" t="str">
            <v>DDC4CY002522</v>
          </cell>
          <cell r="B31" t="str">
            <v>BGNH014</v>
          </cell>
          <cell r="C31" t="str">
            <v>10-98-19-4A-51-FC</v>
          </cell>
        </row>
        <row r="32">
          <cell r="A32" t="str">
            <v>DDC4CY002523</v>
          </cell>
          <cell r="B32" t="str">
            <v>HGNH014</v>
          </cell>
          <cell r="C32" t="str">
            <v>10-98-19-4A-51-FD</v>
          </cell>
        </row>
        <row r="33">
          <cell r="A33" t="str">
            <v>DDC4CY002524</v>
          </cell>
          <cell r="B33" t="str">
            <v>H6NH014</v>
          </cell>
          <cell r="C33" t="str">
            <v>10-98-19-4A-51-F6</v>
          </cell>
        </row>
        <row r="34">
          <cell r="A34" t="str">
            <v>DDC4CY002525</v>
          </cell>
          <cell r="B34" t="str">
            <v>58NH014</v>
          </cell>
          <cell r="C34" t="str">
            <v>10-98-19-4A-51-1C</v>
          </cell>
        </row>
        <row r="35">
          <cell r="A35" t="str">
            <v>DDC4CY002526</v>
          </cell>
          <cell r="B35" t="str">
            <v>2BNH014</v>
          </cell>
          <cell r="C35" t="str">
            <v>10-98-19-4A-51-9A</v>
          </cell>
        </row>
        <row r="36">
          <cell r="A36" t="str">
            <v>DDC4CY002527</v>
          </cell>
          <cell r="B36" t="str">
            <v>7BNH014</v>
          </cell>
          <cell r="C36" t="str">
            <v>10-98-19-4A-51-9B</v>
          </cell>
        </row>
        <row r="37">
          <cell r="A37" t="str">
            <v>DDC4CY002529</v>
          </cell>
          <cell r="B37" t="str">
            <v>JCNH014</v>
          </cell>
          <cell r="C37" t="str">
            <v>10-98-19-4A-51-27</v>
          </cell>
        </row>
        <row r="38">
          <cell r="A38" t="str">
            <v>DDC4CY002530</v>
          </cell>
          <cell r="B38" t="str">
            <v>B9NH014</v>
          </cell>
          <cell r="C38" t="str">
            <v>10-98-19-4A-50-93</v>
          </cell>
        </row>
        <row r="39">
          <cell r="A39" t="str">
            <v>DDC4CY002531</v>
          </cell>
          <cell r="B39" t="str">
            <v>92NH014</v>
          </cell>
          <cell r="C39" t="str">
            <v>10-98-19-4A-51-89</v>
          </cell>
        </row>
        <row r="40">
          <cell r="A40" t="str">
            <v>DDC4CY002532</v>
          </cell>
          <cell r="B40" t="str">
            <v>16NH014</v>
          </cell>
          <cell r="C40" t="str">
            <v>10-98-19-4A-51-24</v>
          </cell>
        </row>
        <row r="41">
          <cell r="A41" t="str">
            <v>DDC4CY002533</v>
          </cell>
          <cell r="B41" t="str">
            <v>33NH014</v>
          </cell>
          <cell r="C41" t="str">
            <v>10-98-19-4A-51-39</v>
          </cell>
        </row>
        <row r="42">
          <cell r="A42" t="str">
            <v>DDC4CY002534</v>
          </cell>
          <cell r="B42" t="str">
            <v>D1NH014</v>
          </cell>
          <cell r="C42" t="str">
            <v>10-98-19-4A-51-9F</v>
          </cell>
        </row>
        <row r="43">
          <cell r="A43" t="str">
            <v>DDC4CY002535</v>
          </cell>
          <cell r="B43" t="str">
            <v>G3NH014</v>
          </cell>
          <cell r="C43" t="str">
            <v>10-98-19-4A-51-16</v>
          </cell>
        </row>
        <row r="44">
          <cell r="A44" t="str">
            <v>DDC4CY002536</v>
          </cell>
          <cell r="B44" t="str">
            <v>14NH014</v>
          </cell>
          <cell r="C44" t="str">
            <v>10-98-19-4A-51-18</v>
          </cell>
        </row>
        <row r="45">
          <cell r="A45" t="str">
            <v>DDC4CY002537</v>
          </cell>
          <cell r="B45" t="str">
            <v>72NH014</v>
          </cell>
          <cell r="C45" t="str">
            <v>10-98-19-4A-51-F2</v>
          </cell>
        </row>
        <row r="46">
          <cell r="A46" t="str">
            <v>DDC4CY002538</v>
          </cell>
          <cell r="B46" t="str">
            <v>93NH014</v>
          </cell>
          <cell r="C46" t="str">
            <v>10-98-19-4A-51-8A</v>
          </cell>
        </row>
        <row r="47">
          <cell r="A47" t="str">
            <v>DDC4CY002539</v>
          </cell>
          <cell r="B47" t="str">
            <v>96NH014</v>
          </cell>
          <cell r="C47" t="str">
            <v>10-98-19-4A-51-F7</v>
          </cell>
        </row>
        <row r="48">
          <cell r="A48" t="str">
            <v>DDC4CY002540</v>
          </cell>
          <cell r="B48" t="str">
            <v>74NH014</v>
          </cell>
          <cell r="C48" t="str">
            <v>10-98-19-4A-52-E9</v>
          </cell>
        </row>
        <row r="49">
          <cell r="A49" t="str">
            <v>DDC4CY002541</v>
          </cell>
          <cell r="B49" t="str">
            <v>35NH014</v>
          </cell>
          <cell r="C49" t="str">
            <v>10-98-19-4A-51-8B</v>
          </cell>
        </row>
        <row r="50">
          <cell r="A50" t="str">
            <v>DDC4CY002542</v>
          </cell>
          <cell r="B50" t="str">
            <v>J2NH014</v>
          </cell>
          <cell r="C50" t="str">
            <v>10-98-19-4A-51-E5</v>
          </cell>
        </row>
        <row r="51">
          <cell r="A51" t="str">
            <v>DDC4CY002543</v>
          </cell>
          <cell r="B51" t="str">
            <v>H0NH014</v>
          </cell>
          <cell r="C51" t="str">
            <v>10-98-19-4A-51-8C</v>
          </cell>
        </row>
        <row r="52">
          <cell r="A52" t="str">
            <v>DDC4CY002544</v>
          </cell>
          <cell r="B52" t="str">
            <v>G2NH014</v>
          </cell>
          <cell r="C52" t="str">
            <v>10-98-19-4A-51-EB</v>
          </cell>
        </row>
        <row r="53">
          <cell r="A53" t="str">
            <v>DDC4CY002545</v>
          </cell>
          <cell r="B53" t="str">
            <v>6ZMH014</v>
          </cell>
          <cell r="C53" t="str">
            <v>10-98-19-4A-52-0B</v>
          </cell>
        </row>
        <row r="54">
          <cell r="A54" t="str">
            <v>DDC4CY002546</v>
          </cell>
          <cell r="B54" t="str">
            <v>81NH014</v>
          </cell>
          <cell r="C54" t="str">
            <v>10-98-19-4A-51-AE</v>
          </cell>
        </row>
        <row r="55">
          <cell r="A55" t="str">
            <v>DDC4CY002548</v>
          </cell>
          <cell r="B55" t="str">
            <v>9ZMH014</v>
          </cell>
          <cell r="C55" t="str">
            <v>10-98-19-4A-51-FB</v>
          </cell>
        </row>
        <row r="56">
          <cell r="A56" t="str">
            <v>DDC4CY002549</v>
          </cell>
          <cell r="B56" t="str">
            <v>63NH014</v>
          </cell>
          <cell r="C56" t="str">
            <v>10-98-19-4A-51-1B</v>
          </cell>
        </row>
        <row r="57">
          <cell r="A57" t="str">
            <v>DDC4CY002550</v>
          </cell>
          <cell r="B57" t="str">
            <v>12NH014</v>
          </cell>
          <cell r="C57" t="str">
            <v>10-98-19-4A-51-44</v>
          </cell>
        </row>
        <row r="58">
          <cell r="A58" t="str">
            <v>DDC4CY002551</v>
          </cell>
          <cell r="B58" t="str">
            <v>G1NH014</v>
          </cell>
          <cell r="C58" t="str">
            <v>10-98-19-4A-51-9E</v>
          </cell>
        </row>
        <row r="59">
          <cell r="A59" t="str">
            <v>DDC4CY002552</v>
          </cell>
          <cell r="B59" t="str">
            <v>41NH014</v>
          </cell>
          <cell r="C59" t="str">
            <v>10-98-19-4A-51-AF</v>
          </cell>
        </row>
        <row r="60">
          <cell r="A60" t="str">
            <v>DDC4CY002553</v>
          </cell>
          <cell r="B60" t="str">
            <v>C0NH014</v>
          </cell>
          <cell r="C60" t="str">
            <v>10-98-19-4A-51-8D</v>
          </cell>
        </row>
        <row r="61">
          <cell r="A61" t="str">
            <v>DDC4CY002554</v>
          </cell>
          <cell r="B61" t="str">
            <v>80NH014</v>
          </cell>
          <cell r="C61" t="str">
            <v>10-98-19-4A-51-A9</v>
          </cell>
        </row>
        <row r="62">
          <cell r="A62" t="str">
            <v>DDC4CY002555</v>
          </cell>
          <cell r="B62" t="str">
            <v>1HLH014</v>
          </cell>
          <cell r="C62" t="str">
            <v>10-98-19-4A-51-C9</v>
          </cell>
        </row>
        <row r="63">
          <cell r="A63" t="str">
            <v>DDC4CY002556</v>
          </cell>
          <cell r="B63" t="str">
            <v>5FLH014</v>
          </cell>
          <cell r="C63" t="str">
            <v>10-98-19-4A-52-D3</v>
          </cell>
        </row>
        <row r="64">
          <cell r="A64" t="str">
            <v>DDC4CY002557</v>
          </cell>
          <cell r="B64" t="str">
            <v>CFLH014</v>
          </cell>
          <cell r="C64" t="str">
            <v>10-98-19-4A-52-D2</v>
          </cell>
        </row>
        <row r="65">
          <cell r="A65" t="str">
            <v>DDC4CY002558</v>
          </cell>
          <cell r="B65" t="str">
            <v>2JLH014</v>
          </cell>
          <cell r="C65" t="str">
            <v>10-98-19-4A-52-1B</v>
          </cell>
        </row>
        <row r="66">
          <cell r="A66" t="str">
            <v>DDC4CY002559</v>
          </cell>
          <cell r="B66" t="str">
            <v>BFMH014</v>
          </cell>
          <cell r="C66" t="str">
            <v>10-98-19-4A-52-CC</v>
          </cell>
        </row>
        <row r="67">
          <cell r="A67" t="str">
            <v>DDC4CY002560</v>
          </cell>
          <cell r="B67" t="str">
            <v>2GMH014</v>
          </cell>
          <cell r="C67" t="str">
            <v>10-98-19-4A-52-37</v>
          </cell>
        </row>
        <row r="68">
          <cell r="A68" t="str">
            <v>DDC4CY002561</v>
          </cell>
          <cell r="B68" t="str">
            <v>8FMH014</v>
          </cell>
          <cell r="C68" t="str">
            <v>10-98-19-4A-65-3D</v>
          </cell>
        </row>
        <row r="69">
          <cell r="A69" t="str">
            <v>DDC4CY002562</v>
          </cell>
          <cell r="B69" t="str">
            <v>HYMH014</v>
          </cell>
          <cell r="C69" t="str">
            <v>10-98-19-4A-50-B2</v>
          </cell>
        </row>
        <row r="70">
          <cell r="A70" t="str">
            <v>DDC4CY002563</v>
          </cell>
          <cell r="B70" t="str">
            <v>DFMH014</v>
          </cell>
          <cell r="C70" t="str">
            <v>10-98-19-4A-51-47</v>
          </cell>
        </row>
        <row r="71">
          <cell r="A71" t="str">
            <v>DDC4CY002564</v>
          </cell>
          <cell r="B71" t="str">
            <v>74MH014</v>
          </cell>
          <cell r="C71" t="str">
            <v>10-98-19-4A-52-A8</v>
          </cell>
        </row>
        <row r="72">
          <cell r="A72" t="str">
            <v>DDC4CY002565</v>
          </cell>
          <cell r="B72" t="str">
            <v>6FMH014</v>
          </cell>
          <cell r="C72" t="str">
            <v>10-98-19-4A-53-03</v>
          </cell>
        </row>
        <row r="73">
          <cell r="A73" t="str">
            <v>DDC4CY002567</v>
          </cell>
          <cell r="B73" t="str">
            <v>4GMH014</v>
          </cell>
          <cell r="C73" t="str">
            <v>10-98-19-4A-66-A6</v>
          </cell>
        </row>
        <row r="74">
          <cell r="A74" t="str">
            <v>DDC4CY002568</v>
          </cell>
          <cell r="B74" t="str">
            <v>9GLH014</v>
          </cell>
          <cell r="C74" t="str">
            <v>10-98-19-4A-65-60</v>
          </cell>
        </row>
        <row r="75">
          <cell r="A75" t="str">
            <v>DDC4CY002569</v>
          </cell>
          <cell r="B75" t="str">
            <v>HFMH014</v>
          </cell>
          <cell r="C75" t="str">
            <v>10-98-19-4A-50-B3</v>
          </cell>
        </row>
        <row r="76">
          <cell r="A76" t="str">
            <v>DDC4CY002570</v>
          </cell>
          <cell r="B76" t="str">
            <v>GFMH014</v>
          </cell>
          <cell r="C76" t="str">
            <v>10-98-19-4A-51-46</v>
          </cell>
        </row>
        <row r="77">
          <cell r="A77" t="str">
            <v>DDC4CY002571</v>
          </cell>
          <cell r="B77" t="str">
            <v>1GMH014</v>
          </cell>
          <cell r="C77" t="str">
            <v>10-98-19-4A-50-F8</v>
          </cell>
        </row>
        <row r="78">
          <cell r="A78" t="str">
            <v>DDC4CY002572</v>
          </cell>
          <cell r="B78" t="str">
            <v>GNLH014</v>
          </cell>
          <cell r="C78" t="str">
            <v>10-98-19-4A-51-38</v>
          </cell>
        </row>
        <row r="79">
          <cell r="A79" t="str">
            <v>DDC4CY002574</v>
          </cell>
          <cell r="B79" t="str">
            <v>5DMH014</v>
          </cell>
          <cell r="C79" t="str">
            <v>10-98-19-4A-50-FF</v>
          </cell>
        </row>
        <row r="80">
          <cell r="A80" t="str">
            <v>DDC4CY002575</v>
          </cell>
          <cell r="B80" t="str">
            <v>DDMH014</v>
          </cell>
          <cell r="C80" t="str">
            <v>10-98-19-4A-52-0D</v>
          </cell>
        </row>
        <row r="81">
          <cell r="A81" t="str">
            <v>DDC4CY002576</v>
          </cell>
          <cell r="B81" t="str">
            <v>4CMH016</v>
          </cell>
          <cell r="C81" t="str">
            <v>10-98-19-4A-52-33</v>
          </cell>
        </row>
        <row r="82">
          <cell r="A82" t="str">
            <v>DDC4CY002577</v>
          </cell>
          <cell r="B82" t="str">
            <v>JDMH014</v>
          </cell>
          <cell r="C82" t="str">
            <v>10-98-19-4A-51-4A</v>
          </cell>
        </row>
        <row r="83">
          <cell r="A83" t="str">
            <v>DDC4CY002578</v>
          </cell>
          <cell r="B83" t="str">
            <v>4FMH014</v>
          </cell>
          <cell r="C83" t="str">
            <v>10-98-19-4A-41-4B</v>
          </cell>
        </row>
        <row r="84">
          <cell r="A84" t="str">
            <v>DDC4CY002579</v>
          </cell>
          <cell r="B84" t="str">
            <v>1JNH014</v>
          </cell>
          <cell r="C84" t="str">
            <v>10-98-19-4A-51-13</v>
          </cell>
        </row>
        <row r="85">
          <cell r="A85" t="str">
            <v>DDC4CY002580</v>
          </cell>
          <cell r="B85" t="str">
            <v>HZMH014</v>
          </cell>
          <cell r="C85" t="str">
            <v>10-98-19-4A-50-F6</v>
          </cell>
        </row>
        <row r="86">
          <cell r="A86" t="str">
            <v>DDC4CY002581</v>
          </cell>
          <cell r="B86" t="str">
            <v>G7NH014</v>
          </cell>
          <cell r="C86" t="str">
            <v>10-98-19-4A-50-BA</v>
          </cell>
        </row>
        <row r="87">
          <cell r="A87" t="str">
            <v>DDC4CY002582</v>
          </cell>
          <cell r="B87" t="str">
            <v>67NH014</v>
          </cell>
          <cell r="C87" t="str">
            <v>10-98-19-4A-51-12</v>
          </cell>
        </row>
        <row r="88">
          <cell r="A88" t="str">
            <v>DDC4CY002583</v>
          </cell>
          <cell r="B88" t="str">
            <v>JFNH014</v>
          </cell>
          <cell r="C88" t="str">
            <v>10-98-19-4A-65-D3</v>
          </cell>
        </row>
        <row r="89">
          <cell r="A89" t="str">
            <v>DDC4CY002584</v>
          </cell>
          <cell r="B89" t="str">
            <v>J4MH014</v>
          </cell>
          <cell r="C89" t="str">
            <v>10-98-19-4A-52-9B</v>
          </cell>
        </row>
        <row r="90">
          <cell r="A90" t="str">
            <v>DDC4CY002585</v>
          </cell>
          <cell r="B90" t="str">
            <v>5GMH014</v>
          </cell>
          <cell r="C90" t="str">
            <v>10-98-19-4A-65-D0</v>
          </cell>
        </row>
        <row r="91">
          <cell r="A91" t="str">
            <v>DDC4CY002586</v>
          </cell>
          <cell r="B91" t="str">
            <v>BBMH014</v>
          </cell>
          <cell r="C91" t="str">
            <v>10-98-19-4A-7C-4F</v>
          </cell>
        </row>
        <row r="92">
          <cell r="A92" t="str">
            <v>DDC4CY002587</v>
          </cell>
          <cell r="B92" t="str">
            <v>C9LH014</v>
          </cell>
          <cell r="C92" t="str">
            <v>10-98-19-4A-52-AE</v>
          </cell>
        </row>
        <row r="93">
          <cell r="A93" t="str">
            <v>DDC4CY002588</v>
          </cell>
          <cell r="B93" t="str">
            <v>C8LH014</v>
          </cell>
          <cell r="C93" t="str">
            <v>10-98-19-4A-52-CE</v>
          </cell>
        </row>
        <row r="94">
          <cell r="A94" t="str">
            <v>DDC4CY002589</v>
          </cell>
          <cell r="B94" t="str">
            <v>C3NH014</v>
          </cell>
          <cell r="C94" t="str">
            <v>10-98-19-4A-51-1A</v>
          </cell>
        </row>
        <row r="95">
          <cell r="A95" t="str">
            <v>DDC4CY002590</v>
          </cell>
          <cell r="B95" t="str">
            <v>5FMH014</v>
          </cell>
          <cell r="C95" t="str">
            <v>10-98-19-4A-53-02</v>
          </cell>
        </row>
        <row r="96">
          <cell r="A96" t="str">
            <v>DDC4CY002591</v>
          </cell>
          <cell r="B96" t="str">
            <v>CKNH014</v>
          </cell>
          <cell r="C96" t="str">
            <v>10-98-19-4A-50-EC</v>
          </cell>
        </row>
        <row r="97">
          <cell r="A97" t="str">
            <v>DDC4CY002592</v>
          </cell>
          <cell r="B97" t="str">
            <v>39NH014</v>
          </cell>
          <cell r="C97" t="str">
            <v>10-98-19-4A-50-8B</v>
          </cell>
        </row>
        <row r="98">
          <cell r="A98" t="str">
            <v>DDC4CY002593</v>
          </cell>
          <cell r="B98" t="str">
            <v>7GMH014</v>
          </cell>
          <cell r="C98" t="str">
            <v>10-98-19-4A-51-B0</v>
          </cell>
        </row>
        <row r="99">
          <cell r="A99" t="str">
            <v>DDC4CY002594</v>
          </cell>
          <cell r="B99" t="str">
            <v>10NH014</v>
          </cell>
          <cell r="C99" t="str">
            <v>10-98-19-4A-51-F9</v>
          </cell>
        </row>
        <row r="100">
          <cell r="A100" t="str">
            <v>DDC4CY002595</v>
          </cell>
          <cell r="B100" t="str">
            <v>G8NH014</v>
          </cell>
          <cell r="C100" t="str">
            <v>10-98-19-4A-51-47</v>
          </cell>
        </row>
        <row r="101">
          <cell r="A101" t="str">
            <v>DDC4CY002596</v>
          </cell>
          <cell r="B101" t="str">
            <v>46NH014</v>
          </cell>
          <cell r="C101" t="str">
            <v>10-98-19-4A-50-F5</v>
          </cell>
        </row>
        <row r="102">
          <cell r="A102" t="str">
            <v>DDC4CY002597</v>
          </cell>
          <cell r="B102" t="str">
            <v>32NH014</v>
          </cell>
          <cell r="C102" t="str">
            <v>10-98-19-4A-51-5B</v>
          </cell>
        </row>
        <row r="103">
          <cell r="A103" t="str">
            <v>DDC4CY002598</v>
          </cell>
          <cell r="B103" t="str">
            <v>HRLH014</v>
          </cell>
          <cell r="C103" t="str">
            <v>10-98-19-4A-66-A9</v>
          </cell>
        </row>
        <row r="104">
          <cell r="A104" t="str">
            <v>DDC4CY002599</v>
          </cell>
          <cell r="B104" t="str">
            <v>5JLH014</v>
          </cell>
          <cell r="C104" t="str">
            <v>10-98-19-4A-52-84</v>
          </cell>
        </row>
        <row r="105">
          <cell r="A105" t="str">
            <v>DDC4CY002600</v>
          </cell>
          <cell r="B105" t="str">
            <v>1DLH014</v>
          </cell>
          <cell r="C105" t="str">
            <v>10-98-19-4A-52-75</v>
          </cell>
        </row>
        <row r="106">
          <cell r="A106" t="str">
            <v>DDC4CY002601</v>
          </cell>
          <cell r="B106" t="str">
            <v>JCMH014</v>
          </cell>
          <cell r="C106" t="str">
            <v>10-98-19-4A-51-68</v>
          </cell>
        </row>
        <row r="107">
          <cell r="A107" t="str">
            <v>DDC4CY002603</v>
          </cell>
          <cell r="B107" t="str">
            <v>BBLH014</v>
          </cell>
          <cell r="C107" t="str">
            <v>10-98-19-4A-66-46</v>
          </cell>
        </row>
        <row r="108">
          <cell r="A108" t="str">
            <v>DDC4CY002604</v>
          </cell>
          <cell r="B108" t="str">
            <v>40MH014</v>
          </cell>
          <cell r="C108" t="str">
            <v>10-98-19-4A-66-42</v>
          </cell>
        </row>
        <row r="109">
          <cell r="A109" t="str">
            <v>DDC4CY002605</v>
          </cell>
          <cell r="B109" t="str">
            <v>6TLH014</v>
          </cell>
          <cell r="C109" t="str">
            <v>10-98-19-4A-51-02</v>
          </cell>
        </row>
        <row r="110">
          <cell r="A110" t="str">
            <v>DDC4CY002606</v>
          </cell>
          <cell r="B110" t="str">
            <v>HPLH014</v>
          </cell>
          <cell r="C110" t="str">
            <v>10-98-19-4A-52-95</v>
          </cell>
        </row>
        <row r="111">
          <cell r="A111" t="str">
            <v>DDC4CY002607</v>
          </cell>
          <cell r="B111" t="str">
            <v>CVLH014</v>
          </cell>
          <cell r="C111" t="str">
            <v>10-98-19-4A-50-F1</v>
          </cell>
        </row>
        <row r="112">
          <cell r="A112" t="str">
            <v>DDC4CY002608</v>
          </cell>
          <cell r="B112" t="str">
            <v>HSLH014</v>
          </cell>
          <cell r="C112" t="str">
            <v>10-98-19-4A-51-08</v>
          </cell>
        </row>
        <row r="113">
          <cell r="A113" t="str">
            <v>DDC4CY002609</v>
          </cell>
          <cell r="B113" t="str">
            <v>FSLH014</v>
          </cell>
          <cell r="C113" t="str">
            <v>10-98-19-4A-51-E0</v>
          </cell>
        </row>
        <row r="114">
          <cell r="A114" t="str">
            <v>DDC4CY002610</v>
          </cell>
          <cell r="B114" t="str">
            <v>3WLH014</v>
          </cell>
          <cell r="C114" t="str">
            <v>10-98-19-4A-50-F0</v>
          </cell>
        </row>
        <row r="115">
          <cell r="A115" t="str">
            <v>DDC4CY002611</v>
          </cell>
          <cell r="B115" t="str">
            <v>1YLH014</v>
          </cell>
          <cell r="C115" t="str">
            <v>10-98-19-4A-51-41</v>
          </cell>
        </row>
        <row r="116">
          <cell r="A116" t="str">
            <v>DDC4CY002612</v>
          </cell>
          <cell r="B116" t="str">
            <v>FQLH014</v>
          </cell>
          <cell r="C116" t="str">
            <v>10-98-19-4A-50-ED</v>
          </cell>
        </row>
        <row r="117">
          <cell r="A117" t="str">
            <v>DDC4CY002613</v>
          </cell>
          <cell r="B117" t="str">
            <v>3RLH014</v>
          </cell>
          <cell r="C117" t="str">
            <v>10-98-19-4A-52-42</v>
          </cell>
        </row>
        <row r="118">
          <cell r="A118" t="str">
            <v>DDC4CY002614</v>
          </cell>
          <cell r="B118" t="str">
            <v>JJLH014</v>
          </cell>
          <cell r="C118" t="str">
            <v>10-98-19-4A-50-FA</v>
          </cell>
        </row>
        <row r="119">
          <cell r="A119" t="str">
            <v>DDC4CY002615</v>
          </cell>
          <cell r="B119" t="str">
            <v>TYLH014</v>
          </cell>
          <cell r="C119" t="str">
            <v>10-98-19-4A-51-BE</v>
          </cell>
        </row>
        <row r="120">
          <cell r="A120" t="str">
            <v>DDC4CY002616</v>
          </cell>
          <cell r="B120" t="str">
            <v>2BLH014</v>
          </cell>
          <cell r="C120" t="str">
            <v>10-98-19-4A-52-74</v>
          </cell>
        </row>
        <row r="121">
          <cell r="A121" t="str">
            <v>DDC4CY002617</v>
          </cell>
          <cell r="B121" t="str">
            <v>5CLH014</v>
          </cell>
          <cell r="C121" t="str">
            <v>10-98-19-4A-52-D1</v>
          </cell>
        </row>
        <row r="122">
          <cell r="A122" t="str">
            <v>DDC4CY002618</v>
          </cell>
          <cell r="B122" t="str">
            <v>5ZLH014</v>
          </cell>
          <cell r="C122" t="str">
            <v>10-98-19-4A-51-BF</v>
          </cell>
        </row>
        <row r="123">
          <cell r="A123" t="str">
            <v>DDC4CY002619</v>
          </cell>
          <cell r="B123" t="str">
            <v>GDLH014</v>
          </cell>
          <cell r="C123" t="str">
            <v>10-98-19-4A-52-46</v>
          </cell>
        </row>
        <row r="124">
          <cell r="A124" t="str">
            <v>DDC4CY002620</v>
          </cell>
          <cell r="B124" t="str">
            <v>1CLH014</v>
          </cell>
          <cell r="C124" t="str">
            <v>10-98-19-4A-52-9A</v>
          </cell>
        </row>
        <row r="125">
          <cell r="A125" t="str">
            <v>DDC4CY002621</v>
          </cell>
          <cell r="B125" t="str">
            <v>4DLH014</v>
          </cell>
          <cell r="C125" t="str">
            <v>10-98-19-4A-52-CF</v>
          </cell>
        </row>
        <row r="126">
          <cell r="A126" t="str">
            <v>DDC4CY002622</v>
          </cell>
          <cell r="B126" t="str">
            <v>8DLH014</v>
          </cell>
          <cell r="C126" t="str">
            <v>10-98-19-4A-51-D9</v>
          </cell>
        </row>
        <row r="127">
          <cell r="A127" t="str">
            <v>DDC4CY002623</v>
          </cell>
          <cell r="B127" t="str">
            <v>H8LH014</v>
          </cell>
          <cell r="C127" t="str">
            <v>10-98-19-4A-66-4D</v>
          </cell>
        </row>
        <row r="128">
          <cell r="A128" t="str">
            <v>DDC4CY002624</v>
          </cell>
          <cell r="B128" t="str">
            <v>DHLH014</v>
          </cell>
          <cell r="C128" t="str">
            <v>10-98-19-4A-67-1C</v>
          </cell>
        </row>
        <row r="129">
          <cell r="A129" t="str">
            <v>DDC4CY002625</v>
          </cell>
          <cell r="B129" t="str">
            <v>59LH014</v>
          </cell>
          <cell r="C129" t="str">
            <v>10-98-19-4A-66-4C</v>
          </cell>
        </row>
        <row r="130">
          <cell r="A130" t="str">
            <v>DDC4CY002627</v>
          </cell>
          <cell r="B130" t="str">
            <v>73MH014</v>
          </cell>
          <cell r="C130" t="str">
            <v>10-98-19-4A-52-72</v>
          </cell>
        </row>
        <row r="131">
          <cell r="A131" t="str">
            <v>DDC4CY002628</v>
          </cell>
          <cell r="B131" t="str">
            <v>5BMH014</v>
          </cell>
          <cell r="C131" t="str">
            <v>10-98-19-4A-50-FD</v>
          </cell>
        </row>
        <row r="132">
          <cell r="A132" t="str">
            <v>DDC4CY002629</v>
          </cell>
          <cell r="B132" t="str">
            <v>6WMH014</v>
          </cell>
          <cell r="C132" t="str">
            <v>10-98-19-4A-52-E8</v>
          </cell>
        </row>
        <row r="133">
          <cell r="A133" t="str">
            <v>DDC4CY002631</v>
          </cell>
          <cell r="B133" t="str">
            <v>JWMH014</v>
          </cell>
          <cell r="C133" t="str">
            <v>10-98-19-4A-52-7A</v>
          </cell>
        </row>
        <row r="134">
          <cell r="A134" t="str">
            <v>DDC4CY002632</v>
          </cell>
          <cell r="B134" t="str">
            <v>5YMH014</v>
          </cell>
          <cell r="C134" t="str">
            <v>10-98-19-4A-52-12</v>
          </cell>
        </row>
        <row r="135">
          <cell r="A135" t="str">
            <v>DDC4CY002633</v>
          </cell>
          <cell r="B135" t="str">
            <v>68MH014</v>
          </cell>
          <cell r="C135" t="str">
            <v>10-98-19-4A-52-B6</v>
          </cell>
        </row>
        <row r="136">
          <cell r="A136" t="str">
            <v>DDC4CY002634</v>
          </cell>
          <cell r="B136" t="str">
            <v>BYMH014</v>
          </cell>
          <cell r="C136" t="str">
            <v>10-98-19-4A-51-DB</v>
          </cell>
        </row>
        <row r="137">
          <cell r="A137" t="str">
            <v>DDC4CY002635</v>
          </cell>
          <cell r="B137" t="str">
            <v>2YMH014</v>
          </cell>
          <cell r="C137" t="str">
            <v>10-98-19-4A-52-DD</v>
          </cell>
        </row>
        <row r="138">
          <cell r="A138" t="str">
            <v>DDC4CY002636</v>
          </cell>
          <cell r="B138" t="str">
            <v>8XMH014</v>
          </cell>
          <cell r="C138" t="str">
            <v>10-98-19-4A-53-0A</v>
          </cell>
        </row>
        <row r="139">
          <cell r="A139" t="str">
            <v>DDC4CY002638</v>
          </cell>
          <cell r="B139" t="str">
            <v>GXMH014</v>
          </cell>
          <cell r="C139" t="str">
            <v>10-98-19-4A-52-13</v>
          </cell>
        </row>
        <row r="140">
          <cell r="A140" t="str">
            <v>DDC4CY002639</v>
          </cell>
          <cell r="B140" t="str">
            <v>7YMH014</v>
          </cell>
          <cell r="C140" t="str">
            <v>10-98-19-4A-52-0A</v>
          </cell>
        </row>
        <row r="141">
          <cell r="A141" t="str">
            <v>DDC4CY002640</v>
          </cell>
          <cell r="B141" t="str">
            <v>H9MH014</v>
          </cell>
          <cell r="C141" t="str">
            <v>10-98-19-4A-50-FC</v>
          </cell>
        </row>
        <row r="142">
          <cell r="A142" t="str">
            <v>DDC4CY002641</v>
          </cell>
          <cell r="B142" t="str">
            <v>2ZMH014</v>
          </cell>
          <cell r="C142" t="str">
            <v>10-98-19-4A-52-23</v>
          </cell>
        </row>
        <row r="143">
          <cell r="A143" t="str">
            <v>DDC4CY002642</v>
          </cell>
          <cell r="B143" t="str">
            <v>3ZMH014</v>
          </cell>
          <cell r="C143" t="str">
            <v>10-98-19-4A-52-DC</v>
          </cell>
        </row>
        <row r="144">
          <cell r="A144" t="str">
            <v>DDC4CY002643</v>
          </cell>
          <cell r="B144" t="str">
            <v>C2MH014</v>
          </cell>
          <cell r="C144" t="str">
            <v>10-98-19-4A-65-73</v>
          </cell>
        </row>
        <row r="145">
          <cell r="A145" t="str">
            <v>DDC4CY002644</v>
          </cell>
          <cell r="B145" t="str">
            <v>FYMH014</v>
          </cell>
          <cell r="C145" t="str">
            <v>10-98-19-4A-52-22</v>
          </cell>
        </row>
        <row r="146">
          <cell r="A146" t="str">
            <v>DDC4CY002645</v>
          </cell>
          <cell r="B146" t="str">
            <v>19MH014</v>
          </cell>
          <cell r="C146" t="str">
            <v>10-98-19-4A-51-61</v>
          </cell>
        </row>
        <row r="147">
          <cell r="A147" t="str">
            <v>DDC4CY002646</v>
          </cell>
          <cell r="B147" t="str">
            <v>94MH014</v>
          </cell>
          <cell r="C147" t="str">
            <v>10-98-19-4A-52-C0</v>
          </cell>
        </row>
        <row r="148">
          <cell r="A148" t="str">
            <v>DDC4CY002647</v>
          </cell>
          <cell r="B148" t="str">
            <v>23MH014</v>
          </cell>
          <cell r="C148" t="str">
            <v>10-98-19-4A-52-73</v>
          </cell>
        </row>
        <row r="149">
          <cell r="A149" t="str">
            <v>DDC4CY002648</v>
          </cell>
          <cell r="B149" t="str">
            <v>GWNH014</v>
          </cell>
          <cell r="C149" t="str">
            <v>10-98-19-4A-66-70</v>
          </cell>
        </row>
        <row r="150">
          <cell r="A150" t="str">
            <v>DDC4CY002649</v>
          </cell>
          <cell r="B150" t="str">
            <v>3WMH014</v>
          </cell>
          <cell r="C150" t="str">
            <v>10-98-19-4A-53-07</v>
          </cell>
        </row>
        <row r="151">
          <cell r="A151" t="str">
            <v>DDC4CY002650</v>
          </cell>
          <cell r="B151" t="str">
            <v>G7MH014</v>
          </cell>
          <cell r="C151" t="str">
            <v>10-98-19-4A-51-B6</v>
          </cell>
        </row>
        <row r="152">
          <cell r="A152" t="str">
            <v>DDC4CY002651</v>
          </cell>
          <cell r="B152" t="str">
            <v>6GMH014</v>
          </cell>
          <cell r="C152" t="str">
            <v>10-98-19-4A-65-2F</v>
          </cell>
        </row>
        <row r="153">
          <cell r="A153" t="str">
            <v>DDC4CY002652</v>
          </cell>
          <cell r="B153" t="str">
            <v>32MH014</v>
          </cell>
          <cell r="C153" t="str">
            <v>10-98-19-4A-65-72</v>
          </cell>
        </row>
        <row r="154">
          <cell r="A154" t="str">
            <v>DDC4CY002653</v>
          </cell>
          <cell r="B154" t="str">
            <v>26MH014</v>
          </cell>
          <cell r="C154" t="str">
            <v>10-98-19-4A-52-B9</v>
          </cell>
        </row>
        <row r="155">
          <cell r="A155" t="str">
            <v>DDC4CY002654</v>
          </cell>
          <cell r="B155" t="str">
            <v>G6MH014</v>
          </cell>
          <cell r="C155" t="str">
            <v>10-98-19-4A-52-A9</v>
          </cell>
        </row>
        <row r="156">
          <cell r="A156" t="str">
            <v>DDC4CY002655</v>
          </cell>
          <cell r="B156" t="str">
            <v>79MH014</v>
          </cell>
          <cell r="C156" t="str">
            <v>10-98-19-4A-52-85</v>
          </cell>
        </row>
        <row r="157">
          <cell r="A157" t="str">
            <v>DDC4CY002656</v>
          </cell>
          <cell r="B157" t="str">
            <v>D5MH014</v>
          </cell>
          <cell r="C157" t="str">
            <v>10-98-19-4A-65-88</v>
          </cell>
        </row>
        <row r="158">
          <cell r="A158" t="str">
            <v>DDC4CY002657</v>
          </cell>
          <cell r="B158" t="str">
            <v>JYMH014</v>
          </cell>
          <cell r="C158" t="str">
            <v>10-98-19-4A-66-A8</v>
          </cell>
        </row>
        <row r="159">
          <cell r="A159" t="str">
            <v>DDC4CY002658</v>
          </cell>
          <cell r="B159" t="str">
            <v>DWMH014</v>
          </cell>
          <cell r="C159" t="str">
            <v>10-98-19-4A-51-4C</v>
          </cell>
        </row>
        <row r="160">
          <cell r="A160" t="str">
            <v>DDC4CY002659</v>
          </cell>
          <cell r="B160" t="str">
            <v>3PMH014</v>
          </cell>
          <cell r="C160" t="str">
            <v>10-98-19-4A-51-FE</v>
          </cell>
        </row>
        <row r="161">
          <cell r="A161" t="str">
            <v>DDC4CY002661</v>
          </cell>
          <cell r="B161" t="str">
            <v>76MH014</v>
          </cell>
          <cell r="C161" t="str">
            <v>10-98-19-4A-52-B8</v>
          </cell>
        </row>
        <row r="162">
          <cell r="A162" t="str">
            <v>DDC4CY002662</v>
          </cell>
          <cell r="B162" t="str">
            <v>COMH014</v>
          </cell>
          <cell r="C162" t="str">
            <v>10-98-19-4A-66-4F</v>
          </cell>
        </row>
        <row r="163">
          <cell r="A163" t="str">
            <v>DDC4CY002663</v>
          </cell>
          <cell r="B163" t="str">
            <v>24MH014</v>
          </cell>
          <cell r="C163" t="str">
            <v>10-98-19-4A-52-C1</v>
          </cell>
        </row>
        <row r="164">
          <cell r="A164" t="str">
            <v>DDC4CY002664</v>
          </cell>
          <cell r="B164" t="str">
            <v>7LLH014</v>
          </cell>
          <cell r="C164" t="str">
            <v>10-98-19-4A-51-20</v>
          </cell>
        </row>
        <row r="165">
          <cell r="A165" t="str">
            <v>DDC4CY002665</v>
          </cell>
          <cell r="B165" t="str">
            <v>2XLH014</v>
          </cell>
          <cell r="C165" t="str">
            <v>10-98-19-4A-51-40</v>
          </cell>
        </row>
        <row r="166">
          <cell r="A166" t="str">
            <v>DDC4CY002666</v>
          </cell>
          <cell r="B166" t="str">
            <v>8WMH014</v>
          </cell>
          <cell r="C166" t="str">
            <v>10-98-19-4A-52-FF</v>
          </cell>
        </row>
        <row r="167">
          <cell r="A167" t="str">
            <v>DDC4CY002667</v>
          </cell>
          <cell r="B167" t="str">
            <v>2PLH014</v>
          </cell>
          <cell r="C167" t="str">
            <v>10-98-19-4A-50-AE</v>
          </cell>
        </row>
        <row r="168">
          <cell r="A168" t="str">
            <v>DDC4CY002668</v>
          </cell>
          <cell r="B168" t="str">
            <v>4VLH014</v>
          </cell>
          <cell r="C168" t="str">
            <v>10-98-19-4A-50-BD</v>
          </cell>
        </row>
        <row r="169">
          <cell r="A169" t="str">
            <v>DDC4CY002671</v>
          </cell>
          <cell r="B169" t="str">
            <v>3MLH014</v>
          </cell>
          <cell r="C169" t="str">
            <v>10-98-19-4A-51-E1</v>
          </cell>
        </row>
        <row r="170">
          <cell r="A170" t="str">
            <v>DDC4CY002672</v>
          </cell>
          <cell r="B170" t="str">
            <v>FTLH014</v>
          </cell>
          <cell r="C170" t="str">
            <v>10-98-19-4A-50-BC</v>
          </cell>
        </row>
        <row r="171">
          <cell r="A171" t="str">
            <v>DDC4CY002673</v>
          </cell>
          <cell r="B171" t="str">
            <v>2GLH014</v>
          </cell>
          <cell r="C171" t="str">
            <v>10-98-19-4A-66-E6</v>
          </cell>
        </row>
        <row r="172">
          <cell r="A172" t="str">
            <v>DDC4CY002674</v>
          </cell>
          <cell r="B172" t="str">
            <v>9NLH014</v>
          </cell>
          <cell r="C172" t="str">
            <v>10-98-19-4A-50-AF</v>
          </cell>
        </row>
        <row r="173">
          <cell r="A173" t="str">
            <v>DDC4CY002675</v>
          </cell>
          <cell r="B173" t="str">
            <v>3GMH014</v>
          </cell>
          <cell r="C173" t="str">
            <v>10-98-19-4A-52-36</v>
          </cell>
        </row>
        <row r="174">
          <cell r="A174" t="str">
            <v>DDC4CY002676</v>
          </cell>
          <cell r="B174" t="str">
            <v>6KLH014</v>
          </cell>
          <cell r="C174" t="str">
            <v>10-98-19-4A-50-FB</v>
          </cell>
        </row>
        <row r="175">
          <cell r="A175" t="str">
            <v>DDC4CY002677</v>
          </cell>
          <cell r="B175" t="str">
            <v>7PLH014</v>
          </cell>
          <cell r="C175" t="str">
            <v>10-98-19-4A-52-59</v>
          </cell>
        </row>
        <row r="176">
          <cell r="A176" t="str">
            <v>DDC4CY002678</v>
          </cell>
          <cell r="B176" t="str">
            <v>7HNH018</v>
          </cell>
          <cell r="C176" t="str">
            <v>10-98-19-4A-50-F4</v>
          </cell>
        </row>
        <row r="177">
          <cell r="A177" t="str">
            <v>DDC4CY002679</v>
          </cell>
          <cell r="B177" t="str">
            <v>4XMH014</v>
          </cell>
          <cell r="C177" t="str">
            <v>10-98-19-4A-52-7B</v>
          </cell>
        </row>
        <row r="178">
          <cell r="A178" t="str">
            <v>DDC4CY002680</v>
          </cell>
          <cell r="B178" t="str">
            <v>9WLH014</v>
          </cell>
          <cell r="C178" t="str">
            <v>10-98-19-4A-67-6A</v>
          </cell>
        </row>
        <row r="179">
          <cell r="A179" t="str">
            <v>DDC4CY002681</v>
          </cell>
          <cell r="B179" t="str">
            <v>BXMH014</v>
          </cell>
          <cell r="C179" t="str">
            <v>10-98-19-4A-53-0B</v>
          </cell>
        </row>
        <row r="180">
          <cell r="A180" t="str">
            <v>DDC4CY002682</v>
          </cell>
          <cell r="B180" t="str">
            <v>CZLH014</v>
          </cell>
          <cell r="C180" t="str">
            <v>10-98-19-4A-52-47</v>
          </cell>
        </row>
        <row r="181">
          <cell r="A181" t="str">
            <v>DDC4CY002683</v>
          </cell>
          <cell r="B181" t="str">
            <v>DFNH014</v>
          </cell>
          <cell r="C181" t="str">
            <v>10-98-19-4A-65-DF</v>
          </cell>
        </row>
        <row r="182">
          <cell r="A182" t="str">
            <v>DDC4CY002684</v>
          </cell>
          <cell r="B182" t="str">
            <v>D2NH014</v>
          </cell>
          <cell r="C182" t="str">
            <v>10-98-19-4A-51-F3</v>
          </cell>
        </row>
        <row r="183">
          <cell r="A183" t="str">
            <v>DDC4CY002685</v>
          </cell>
          <cell r="B183" t="str">
            <v>CZMH014</v>
          </cell>
          <cell r="C183" t="str">
            <v>10-98-19-4A-51-FA</v>
          </cell>
        </row>
        <row r="184">
          <cell r="A184" t="str">
            <v>DDC4CY002686</v>
          </cell>
          <cell r="B184" t="str">
            <v>8GMH014</v>
          </cell>
          <cell r="C184" t="str">
            <v>10-98-19-4A-51-B1</v>
          </cell>
        </row>
        <row r="185">
          <cell r="A185" t="str">
            <v>DDC4CY002732</v>
          </cell>
          <cell r="B185" t="str">
            <v>1HMTH54</v>
          </cell>
          <cell r="C185" t="str">
            <v>AC-B4-80-45-6B-1B</v>
          </cell>
        </row>
        <row r="186">
          <cell r="A186" t="str">
            <v>DDC4CY002733</v>
          </cell>
          <cell r="B186" t="str">
            <v>2FMTH54</v>
          </cell>
          <cell r="C186" t="str">
            <v>AC-B4-80-45-6B-15</v>
          </cell>
        </row>
        <row r="187">
          <cell r="A187" t="str">
            <v>DDC4CY002734</v>
          </cell>
          <cell r="B187" t="str">
            <v>4PMTH54</v>
          </cell>
          <cell r="C187" t="str">
            <v>AC-B4-80-45-6B-5A</v>
          </cell>
        </row>
        <row r="188">
          <cell r="A188" t="str">
            <v>DDC4CY002735</v>
          </cell>
          <cell r="B188" t="str">
            <v>7FMTH54</v>
          </cell>
          <cell r="C188" t="str">
            <v>AC-B4-80-45-6C-3F</v>
          </cell>
        </row>
        <row r="189">
          <cell r="A189" t="str">
            <v>DDC4CY002736</v>
          </cell>
          <cell r="B189" t="str">
            <v>BQMTH54</v>
          </cell>
          <cell r="C189" t="str">
            <v>AC-B4-80-45-6B-A8</v>
          </cell>
        </row>
        <row r="190">
          <cell r="A190" t="str">
            <v>DDC4CY002739</v>
          </cell>
          <cell r="B190" t="str">
            <v>JRMTH54</v>
          </cell>
          <cell r="C190" t="str">
            <v>AC-B4-80-45-6B-C3</v>
          </cell>
        </row>
        <row r="191">
          <cell r="A191" t="str">
            <v>DDC4CY002740</v>
          </cell>
          <cell r="B191" t="str">
            <v>4HMTH54</v>
          </cell>
          <cell r="C191" t="str">
            <v>AC-B4-80-45-6B-61</v>
          </cell>
        </row>
        <row r="192">
          <cell r="A192" t="str">
            <v>DDC4CY002741</v>
          </cell>
          <cell r="B192" t="str">
            <v>HMNTH54</v>
          </cell>
          <cell r="C192" t="str">
            <v>AC-B4-80-45-6B-5B</v>
          </cell>
        </row>
        <row r="193">
          <cell r="A193" t="str">
            <v>DDC4CY002742</v>
          </cell>
          <cell r="B193" t="str">
            <v>5FMTH54</v>
          </cell>
          <cell r="C193" t="str">
            <v>AC-B4-80-45-6C-47</v>
          </cell>
        </row>
        <row r="194">
          <cell r="A194" t="str">
            <v>DDC4CY002743</v>
          </cell>
          <cell r="B194" t="str">
            <v>2LMTH54</v>
          </cell>
          <cell r="C194" t="str">
            <v>AC-B4-80-45-6C-59</v>
          </cell>
        </row>
        <row r="195">
          <cell r="A195" t="str">
            <v>DDC4CY002744</v>
          </cell>
          <cell r="B195" t="str">
            <v>9LMTH54</v>
          </cell>
          <cell r="C195" t="str">
            <v>AC-B4-80-45-6B-53</v>
          </cell>
        </row>
        <row r="196">
          <cell r="A196" t="str">
            <v>DDC4CY002745</v>
          </cell>
          <cell r="B196" t="str">
            <v>7LMTH54</v>
          </cell>
          <cell r="C196" t="str">
            <v>AC-B4-80-45-6B-52</v>
          </cell>
        </row>
        <row r="197">
          <cell r="A197" t="str">
            <v>DDC4CY002746</v>
          </cell>
          <cell r="B197" t="str">
            <v>8SMTH54</v>
          </cell>
          <cell r="C197" t="str">
            <v>AC-B4-80-45-6D-43</v>
          </cell>
        </row>
        <row r="198">
          <cell r="A198" t="str">
            <v>DDC4CY002748</v>
          </cell>
          <cell r="B198" t="str">
            <v>HLMTH54</v>
          </cell>
          <cell r="C198" t="str">
            <v>AC-B4-80-45-6B-57</v>
          </cell>
        </row>
        <row r="199">
          <cell r="A199" t="str">
            <v>DDC4CY002749</v>
          </cell>
          <cell r="B199" t="str">
            <v>3SMTH54</v>
          </cell>
          <cell r="C199" t="str">
            <v>AC-B4-80-45-6A-F9</v>
          </cell>
        </row>
        <row r="200">
          <cell r="A200" t="str">
            <v>DDC4CY002750</v>
          </cell>
          <cell r="B200" t="str">
            <v>4NMTH54</v>
          </cell>
          <cell r="C200" t="str">
            <v>AC-84-80-45-6B-4B</v>
          </cell>
        </row>
        <row r="201">
          <cell r="A201" t="str">
            <v>DDC4CY002751</v>
          </cell>
          <cell r="B201" t="str">
            <v>GMNTH54</v>
          </cell>
          <cell r="C201" t="str">
            <v>AC-B4-80-45-6B-4A</v>
          </cell>
        </row>
        <row r="202">
          <cell r="A202" t="str">
            <v>DDC4CY002752</v>
          </cell>
          <cell r="B202" t="str">
            <v>5QMTH54</v>
          </cell>
          <cell r="C202" t="str">
            <v>AC-B4-80-45-6A-E1</v>
          </cell>
        </row>
        <row r="203">
          <cell r="A203" t="str">
            <v>DDC4CY002753</v>
          </cell>
          <cell r="B203" t="str">
            <v>1PMTH54</v>
          </cell>
          <cell r="C203" t="str">
            <v>AC-B4-80-45-6B-D6</v>
          </cell>
        </row>
        <row r="204">
          <cell r="A204" t="str">
            <v>DDC4CY002754</v>
          </cell>
          <cell r="B204" t="str">
            <v>BMMTH54</v>
          </cell>
          <cell r="C204" t="str">
            <v>AC-B4-80-45-6C-55</v>
          </cell>
        </row>
        <row r="205">
          <cell r="A205" t="str">
            <v>DDC4CY002755</v>
          </cell>
          <cell r="B205" t="str">
            <v>3RMTH54</v>
          </cell>
          <cell r="C205" t="str">
            <v>AC-B4-80-45-6B-49</v>
          </cell>
        </row>
        <row r="206">
          <cell r="A206" t="str">
            <v>DDC4CY002756</v>
          </cell>
          <cell r="B206" t="str">
            <v>6MMTH54</v>
          </cell>
          <cell r="C206" t="str">
            <v>AC-B4-80-45-6B-E9</v>
          </cell>
        </row>
        <row r="207">
          <cell r="A207" t="str">
            <v>DDC4CY002757</v>
          </cell>
          <cell r="B207" t="str">
            <v>DLMTH54</v>
          </cell>
          <cell r="C207" t="str">
            <v>AC-B4-80-45-6B-47</v>
          </cell>
        </row>
        <row r="208">
          <cell r="A208" t="str">
            <v>DDC4CY002758</v>
          </cell>
          <cell r="B208" t="str">
            <v>1MMTH54</v>
          </cell>
          <cell r="C208" t="str">
            <v>AC-B4-80-45-6B-99</v>
          </cell>
        </row>
        <row r="209">
          <cell r="A209" t="str">
            <v>DDC4CY002759</v>
          </cell>
          <cell r="B209" t="str">
            <v>8JMTH54</v>
          </cell>
          <cell r="C209" t="str">
            <v>AC-B4-80-45-6B-72</v>
          </cell>
        </row>
        <row r="210">
          <cell r="A210" t="str">
            <v>DDC4CY002760</v>
          </cell>
          <cell r="B210" t="str">
            <v>FY8ZL54</v>
          </cell>
          <cell r="C210" t="str">
            <v>AC-B4-80-45-6B-45</v>
          </cell>
        </row>
        <row r="211">
          <cell r="A211" t="str">
            <v>DDC4CY002762</v>
          </cell>
          <cell r="B211" t="str">
            <v>5JMTH54</v>
          </cell>
          <cell r="C211" t="str">
            <v>AC-B4-80-45-6B-FF</v>
          </cell>
        </row>
        <row r="212">
          <cell r="A212" t="str">
            <v>DDC4CY002763</v>
          </cell>
          <cell r="B212" t="str">
            <v>DRMTH54</v>
          </cell>
          <cell r="C212" t="str">
            <v>AC-B4-80-45-6B-9D</v>
          </cell>
        </row>
        <row r="213">
          <cell r="A213" t="str">
            <v>DDC4CY002764</v>
          </cell>
          <cell r="B213" t="str">
            <v>2QMTH54</v>
          </cell>
          <cell r="C213" t="str">
            <v>AC-B4-80-45-6B-9A</v>
          </cell>
        </row>
        <row r="214">
          <cell r="A214" t="str">
            <v>DDC4CY002765</v>
          </cell>
          <cell r="B214" t="str">
            <v>6PMTH54</v>
          </cell>
          <cell r="C214" t="str">
            <v>AC-B4-80-45-6B-58</v>
          </cell>
        </row>
        <row r="215">
          <cell r="A215" t="str">
            <v>DDC4CY002771</v>
          </cell>
          <cell r="B215" t="str">
            <v>CPMTH54</v>
          </cell>
          <cell r="C215" t="str">
            <v>AC-B4-80-45-6B-59</v>
          </cell>
        </row>
        <row r="216">
          <cell r="A216" t="str">
            <v>DDC4CY002772</v>
          </cell>
          <cell r="B216" t="str">
            <v>8QMTH54</v>
          </cell>
          <cell r="C216" t="str">
            <v>AC-B4-80-45-6B-76</v>
          </cell>
        </row>
        <row r="217">
          <cell r="A217" t="str">
            <v>DDC4CY002775</v>
          </cell>
          <cell r="B217" t="str">
            <v>3JMTH54</v>
          </cell>
          <cell r="C217" t="str">
            <v>AC-84-80-45-6B-74</v>
          </cell>
        </row>
        <row r="218">
          <cell r="A218" t="str">
            <v>DDC4CY002777</v>
          </cell>
          <cell r="B218" t="str">
            <v>FKMTH54</v>
          </cell>
          <cell r="C218" t="str">
            <v>AC-B4-80-45-6B-4D</v>
          </cell>
        </row>
        <row r="219">
          <cell r="A219" t="str">
            <v>DDC4CY002794</v>
          </cell>
          <cell r="B219" t="str">
            <v>DCMTH54</v>
          </cell>
          <cell r="C219" t="str">
            <v>AC-B4-80-45-6B-1C</v>
          </cell>
        </row>
        <row r="220">
          <cell r="A220" t="str">
            <v>DDC4CY002800</v>
          </cell>
          <cell r="B220" t="str">
            <v>DGMTH54</v>
          </cell>
          <cell r="C220" t="str">
            <v>AC-B4-80-45-6C-15</v>
          </cell>
        </row>
        <row r="221">
          <cell r="A221" t="str">
            <v>DDC4CY002810</v>
          </cell>
          <cell r="B221" t="str">
            <v>2DMTH54</v>
          </cell>
          <cell r="C221" t="str">
            <v>AC-B4-80-45-6B-29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F2EDF-E370-4009-B97B-E55BCF2D76FF}" name="Table1" displayName="Table1" ref="A1:M245" totalsRowShown="0" headerRowDxfId="15" dataDxfId="14">
  <autoFilter ref="A1:M245" xr:uid="{EEEEDDED-4979-4078-80FD-9063B942019F}"/>
  <sortState xmlns:xlrd2="http://schemas.microsoft.com/office/spreadsheetml/2017/richdata2" ref="A2:M245">
    <sortCondition ref="L2:L245"/>
    <sortCondition ref="M2:M245"/>
    <sortCondition ref="E2:E245"/>
  </sortState>
  <tableColumns count="13">
    <tableColumn id="1" xr3:uid="{1C06E684-A210-4D66-9514-BB71CE3FC266}" name="building_room" dataDxfId="13"/>
    <tableColumn id="2" xr3:uid="{0B0C222E-CB41-40BF-A9ED-09C2BAFEBE1A}" name="case_number" dataDxfId="12">
      <calculatedColumnFormula>IFERROR(_xlfn.TEXTBEFORE(C2, "-"), "")</calculatedColumnFormula>
    </tableColumn>
    <tableColumn id="3" xr3:uid="{538F92C6-C304-4639-9A7C-AB145C1A3023}" name="slot_number" dataDxfId="11"/>
    <tableColumn id="4" xr3:uid="{343EB768-A0A7-49EA-BC91-2C4D98078AC5}" name="equipment_type" dataDxfId="10"/>
    <tableColumn id="5" xr3:uid="{D7C46141-2539-48C5-8707-A738145CB1C3}" name="asset_tag" dataDxfId="9"/>
    <tableColumn id="13" xr3:uid="{92078B28-3853-4491-B91B-7AC2899B4E17}" name="clean_asset_tag" dataDxfId="8">
      <calculatedColumnFormula>SUBSTITUTE(Table1[[#This Row],[asset_tag]], "-", "")</calculatedColumnFormula>
    </tableColumn>
    <tableColumn id="6" xr3:uid="{348A46B9-7E92-45FD-B30B-F4CA956B4357}" name="serial_number" dataDxfId="7"/>
    <tableColumn id="12" xr3:uid="{BB1BDA60-8065-4FF3-99FB-8C4623B13C53}" name="mac_address" dataDxfId="6">
      <calculatedColumnFormula>IFERROR(VLOOKUP(F2, [1]BQ25_laptop_data_mod!A:C, 3, FALSE), "no MAC found")</calculatedColumnFormula>
    </tableColumn>
    <tableColumn id="7" xr3:uid="{F3EB11C2-1424-4949-837B-6A03D8A1EE1C}" name="manufacturer" dataDxfId="5"/>
    <tableColumn id="8" xr3:uid="{0E4A4F03-795F-4B2A-8838-5C39BC5640CF}" name="model" dataDxfId="4"/>
    <tableColumn id="9" xr3:uid="{2247059C-799A-4650-B824-2BA6049C430F}" name="model_code" dataDxfId="3"/>
    <tableColumn id="10" xr3:uid="{BD83BBB8-70EE-4461-974B-539D3118768B}" name="case_helper" dataDxfId="2">
      <calculatedColumnFormula>IFERROR(--_xlfn.TEXTBEFORE(Table1[[#This Row],[slot_number]],"-"),9999)</calculatedColumnFormula>
    </tableColumn>
    <tableColumn id="11" xr3:uid="{CE617533-A6CC-408C-B3B2-957A9FFDD016}" name="slot_helper" dataDxfId="1">
      <calculatedColumnFormula>IFERROR(--_xlfn.TEXTAFTER(Table1[[#This Row],[slot_number]],"-"),9999)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ADBB-9104-4312-ABE7-00F94AF64D95}">
  <sheetPr>
    <pageSetUpPr fitToPage="1"/>
  </sheetPr>
  <dimension ref="A1:CZ245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140625" style="1" customWidth="1"/>
    <col min="2" max="2" width="15" style="1" customWidth="1"/>
    <col min="3" max="3" width="14.42578125" style="2" customWidth="1"/>
    <col min="4" max="4" width="18" style="1" customWidth="1"/>
    <col min="5" max="6" width="17" style="1" customWidth="1"/>
    <col min="7" max="7" width="16" style="1" customWidth="1"/>
    <col min="8" max="8" width="18.140625" style="1" bestFit="1" customWidth="1"/>
    <col min="9" max="9" width="15.5703125" style="1" bestFit="1" customWidth="1"/>
    <col min="10" max="10" width="13.7109375" style="1" bestFit="1" customWidth="1"/>
    <col min="11" max="11" width="14.140625" style="1" customWidth="1"/>
    <col min="12" max="13" width="9.140625" style="1" hidden="1" customWidth="1"/>
    <col min="14" max="16384" width="9.140625" style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01" s="3" customFormat="1" x14ac:dyDescent="0.25">
      <c r="A2" s="1">
        <v>283</v>
      </c>
      <c r="B2" s="1" t="str">
        <f t="shared" ref="B2:B65" si="0">IFERROR(_xlfn.TEXTBEFORE(C2, "-"), "")</f>
        <v>1</v>
      </c>
      <c r="C2" s="2" t="s">
        <v>13</v>
      </c>
      <c r="D2" s="1" t="s">
        <v>14</v>
      </c>
      <c r="E2" s="1" t="s">
        <v>15</v>
      </c>
      <c r="F2" s="1" t="str">
        <f>SUBSTITUTE(Table1[[#This Row],[asset_tag]], "-", "")</f>
        <v>DDC4CY002645</v>
      </c>
      <c r="G2" s="1" t="s">
        <v>16</v>
      </c>
      <c r="H2" s="1" t="str">
        <f>IFERROR(VLOOKUP(F2, [1]BQ25_laptop_data_mod!A:C, 3, FALSE), "no MAC found")</f>
        <v>10-98-19-4A-51-61</v>
      </c>
      <c r="I2" s="1" t="s">
        <v>17</v>
      </c>
      <c r="J2" s="1" t="s">
        <v>18</v>
      </c>
      <c r="K2" s="1">
        <v>2250</v>
      </c>
      <c r="L2" s="3">
        <f>IFERROR(--_xlfn.TEXTBEFORE(Table1[[#This Row],[slot_number]],"-"),9999)</f>
        <v>1</v>
      </c>
      <c r="M2" s="3">
        <f>IFERROR(--_xlfn.TEXTAFTER(Table1[[#This Row],[slot_number]],"-"),9999)</f>
        <v>1</v>
      </c>
    </row>
    <row r="3" spans="1:101" s="3" customFormat="1" x14ac:dyDescent="0.25">
      <c r="A3" s="1">
        <v>283</v>
      </c>
      <c r="B3" s="1" t="str">
        <f t="shared" si="0"/>
        <v>1</v>
      </c>
      <c r="C3" s="2" t="s">
        <v>19</v>
      </c>
      <c r="D3" s="1" t="s">
        <v>14</v>
      </c>
      <c r="E3" s="1" t="s">
        <v>20</v>
      </c>
      <c r="F3" s="1" t="str">
        <f>SUBSTITUTE(Table1[[#This Row],[asset_tag]], "-", "")</f>
        <v>DDC4CY002663</v>
      </c>
      <c r="G3" s="1" t="s">
        <v>21</v>
      </c>
      <c r="H3" s="1" t="str">
        <f>IFERROR(VLOOKUP(F3, [1]BQ25_laptop_data_mod!A:C, 3, FALSE), "no MAC found")</f>
        <v>10-98-19-4A-52-C1</v>
      </c>
      <c r="I3" s="1" t="s">
        <v>17</v>
      </c>
      <c r="J3" s="1" t="s">
        <v>18</v>
      </c>
      <c r="K3" s="1">
        <v>2250</v>
      </c>
      <c r="L3" s="3">
        <f>IFERROR(--_xlfn.TEXTBEFORE(Table1[[#This Row],[slot_number]],"-"),9999)</f>
        <v>1</v>
      </c>
      <c r="M3" s="3">
        <f>IFERROR(--_xlfn.TEXTAFTER(Table1[[#This Row],[slot_number]],"-"),9999)</f>
        <v>2</v>
      </c>
    </row>
    <row r="4" spans="1:101" s="3" customFormat="1" x14ac:dyDescent="0.25">
      <c r="A4" s="1">
        <v>283</v>
      </c>
      <c r="B4" s="1" t="str">
        <f t="shared" si="0"/>
        <v>1</v>
      </c>
      <c r="C4" s="2" t="s">
        <v>22</v>
      </c>
      <c r="D4" s="1" t="s">
        <v>14</v>
      </c>
      <c r="E4" s="1" t="s">
        <v>23</v>
      </c>
      <c r="F4" s="1" t="str">
        <f>SUBSTITUTE(Table1[[#This Row],[asset_tag]], "-", "")</f>
        <v>DDC4CY002668</v>
      </c>
      <c r="G4" s="1" t="s">
        <v>24</v>
      </c>
      <c r="H4" s="1" t="str">
        <f>IFERROR(VLOOKUP(F4, [1]BQ25_laptop_data_mod!A:C, 3, FALSE), "no MAC found")</f>
        <v>10-98-19-4A-50-BD</v>
      </c>
      <c r="I4" s="1" t="s">
        <v>17</v>
      </c>
      <c r="J4" s="1" t="s">
        <v>18</v>
      </c>
      <c r="K4" s="1">
        <v>2250</v>
      </c>
      <c r="L4" s="3">
        <f>IFERROR(--_xlfn.TEXTBEFORE(Table1[[#This Row],[slot_number]],"-"),9999)</f>
        <v>1</v>
      </c>
      <c r="M4" s="3">
        <f>IFERROR(--_xlfn.TEXTAFTER(Table1[[#This Row],[slot_number]],"-"),9999)</f>
        <v>3</v>
      </c>
    </row>
    <row r="5" spans="1:101" s="3" customFormat="1" x14ac:dyDescent="0.25">
      <c r="A5" s="1">
        <v>283</v>
      </c>
      <c r="B5" s="1" t="str">
        <f t="shared" si="0"/>
        <v>1</v>
      </c>
      <c r="C5" s="2" t="s">
        <v>25</v>
      </c>
      <c r="D5" s="1" t="s">
        <v>14</v>
      </c>
      <c r="E5" s="1" t="s">
        <v>26</v>
      </c>
      <c r="F5" s="1" t="str">
        <f>SUBSTITUTE(Table1[[#This Row],[asset_tag]], "-", "")</f>
        <v>DDC4CY002643</v>
      </c>
      <c r="G5" s="1" t="s">
        <v>27</v>
      </c>
      <c r="H5" s="1" t="str">
        <f>IFERROR(VLOOKUP(F5, [1]BQ25_laptop_data_mod!A:C, 3, FALSE), "no MAC found")</f>
        <v>10-98-19-4A-65-73</v>
      </c>
      <c r="I5" s="1" t="s">
        <v>17</v>
      </c>
      <c r="J5" s="1" t="s">
        <v>18</v>
      </c>
      <c r="K5" s="1">
        <v>2250</v>
      </c>
      <c r="L5" s="3">
        <f>IFERROR(--_xlfn.TEXTBEFORE(Table1[[#This Row],[slot_number]],"-"),9999)</f>
        <v>1</v>
      </c>
      <c r="M5" s="3">
        <f>IFERROR(--_xlfn.TEXTAFTER(Table1[[#This Row],[slot_number]],"-"),9999)</f>
        <v>4</v>
      </c>
    </row>
    <row r="6" spans="1:101" s="3" customFormat="1" x14ac:dyDescent="0.25">
      <c r="A6" s="1">
        <v>283</v>
      </c>
      <c r="B6" s="1" t="str">
        <f t="shared" si="0"/>
        <v>1</v>
      </c>
      <c r="C6" s="2" t="s">
        <v>28</v>
      </c>
      <c r="D6" s="1" t="s">
        <v>14</v>
      </c>
      <c r="E6" s="1" t="s">
        <v>29</v>
      </c>
      <c r="F6" s="1" t="str">
        <f>SUBSTITUTE(Table1[[#This Row],[asset_tag]], "-", "")</f>
        <v>DDC4CY002582</v>
      </c>
      <c r="G6" s="1" t="s">
        <v>30</v>
      </c>
      <c r="H6" s="1" t="str">
        <f>IFERROR(VLOOKUP(F6, [1]BQ25_laptop_data_mod!A:C, 3, FALSE), "no MAC found")</f>
        <v>10-98-19-4A-51-12</v>
      </c>
      <c r="I6" s="1" t="s">
        <v>17</v>
      </c>
      <c r="J6" s="1" t="s">
        <v>18</v>
      </c>
      <c r="K6" s="1">
        <v>2250</v>
      </c>
      <c r="L6" s="3">
        <f>IFERROR(--_xlfn.TEXTBEFORE(Table1[[#This Row],[slot_number]],"-"),9999)</f>
        <v>1</v>
      </c>
      <c r="M6" s="3">
        <f>IFERROR(--_xlfn.TEXTAFTER(Table1[[#This Row],[slot_number]],"-"),9999)</f>
        <v>5</v>
      </c>
    </row>
    <row r="7" spans="1:101" s="4" customFormat="1" x14ac:dyDescent="0.25">
      <c r="A7" s="1">
        <v>283</v>
      </c>
      <c r="B7" s="1" t="str">
        <f t="shared" si="0"/>
        <v>1</v>
      </c>
      <c r="C7" s="2" t="s">
        <v>31</v>
      </c>
      <c r="D7" s="1" t="s">
        <v>14</v>
      </c>
      <c r="E7" s="1" t="s">
        <v>32</v>
      </c>
      <c r="F7" s="1" t="str">
        <f>SUBSTITUTE(Table1[[#This Row],[asset_tag]], "-", "")</f>
        <v>DDC4CY002508</v>
      </c>
      <c r="G7" s="1" t="s">
        <v>33</v>
      </c>
      <c r="H7" s="1" t="str">
        <f>IFERROR(VLOOKUP(F7, [1]BQ25_laptop_data_mod!A:C, 3, FALSE), "no MAC found")</f>
        <v>10-98-19-4A-51-25</v>
      </c>
      <c r="I7" s="1" t="s">
        <v>17</v>
      </c>
      <c r="J7" s="1" t="s">
        <v>18</v>
      </c>
      <c r="K7" s="1">
        <v>2250</v>
      </c>
      <c r="L7" s="3">
        <f>IFERROR(--_xlfn.TEXTBEFORE(Table1[[#This Row],[slot_number]],"-"),9999)</f>
        <v>1</v>
      </c>
      <c r="M7" s="3">
        <f>IFERROR(--_xlfn.TEXTAFTER(Table1[[#This Row],[slot_number]],"-"),9999)</f>
        <v>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s="3" customFormat="1" x14ac:dyDescent="0.25">
      <c r="A8" s="1">
        <v>283</v>
      </c>
      <c r="B8" s="1" t="str">
        <f t="shared" si="0"/>
        <v>1</v>
      </c>
      <c r="C8" s="2" t="s">
        <v>34</v>
      </c>
      <c r="D8" s="1" t="s">
        <v>14</v>
      </c>
      <c r="E8" s="1" t="s">
        <v>35</v>
      </c>
      <c r="F8" s="1" t="str">
        <f>SUBSTITUTE(Table1[[#This Row],[asset_tag]], "-", "")</f>
        <v>DDC4CY002603</v>
      </c>
      <c r="G8" s="1" t="s">
        <v>36</v>
      </c>
      <c r="H8" s="1" t="str">
        <f>IFERROR(VLOOKUP(F8, [1]BQ25_laptop_data_mod!A:C, 3, FALSE), "no MAC found")</f>
        <v>10-98-19-4A-66-46</v>
      </c>
      <c r="I8" s="1" t="s">
        <v>17</v>
      </c>
      <c r="J8" s="1" t="s">
        <v>18</v>
      </c>
      <c r="K8" s="1">
        <v>2250</v>
      </c>
      <c r="L8" s="3">
        <f>IFERROR(--_xlfn.TEXTBEFORE(Table1[[#This Row],[slot_number]],"-"),9999)</f>
        <v>1</v>
      </c>
      <c r="M8" s="3">
        <f>IFERROR(--_xlfn.TEXTAFTER(Table1[[#This Row],[slot_number]],"-"),9999)</f>
        <v>7</v>
      </c>
    </row>
    <row r="9" spans="1:101" s="3" customFormat="1" x14ac:dyDescent="0.25">
      <c r="A9" s="1">
        <v>283</v>
      </c>
      <c r="B9" s="1" t="str">
        <f t="shared" si="0"/>
        <v>1</v>
      </c>
      <c r="C9" s="2" t="s">
        <v>37</v>
      </c>
      <c r="D9" s="1" t="s">
        <v>14</v>
      </c>
      <c r="E9" s="1" t="s">
        <v>38</v>
      </c>
      <c r="F9" s="1" t="str">
        <f>SUBSTITUTE(Table1[[#This Row],[asset_tag]], "-", "")</f>
        <v>DDC4CY002570</v>
      </c>
      <c r="G9" s="1" t="s">
        <v>39</v>
      </c>
      <c r="H9" s="1" t="str">
        <f>IFERROR(VLOOKUP(F9, [1]BQ25_laptop_data_mod!A:C, 3, FALSE), "no MAC found")</f>
        <v>10-98-19-4A-51-46</v>
      </c>
      <c r="I9" s="1" t="s">
        <v>17</v>
      </c>
      <c r="J9" s="1" t="s">
        <v>18</v>
      </c>
      <c r="K9" s="1">
        <v>2250</v>
      </c>
      <c r="L9" s="3">
        <f>IFERROR(--_xlfn.TEXTBEFORE(Table1[[#This Row],[slot_number]],"-"),9999)</f>
        <v>1</v>
      </c>
      <c r="M9" s="3">
        <f>IFERROR(--_xlfn.TEXTAFTER(Table1[[#This Row],[slot_number]],"-"),9999)</f>
        <v>8</v>
      </c>
    </row>
    <row r="10" spans="1:101" s="3" customFormat="1" x14ac:dyDescent="0.25">
      <c r="A10" s="1">
        <v>283</v>
      </c>
      <c r="B10" s="1" t="str">
        <f t="shared" si="0"/>
        <v>1</v>
      </c>
      <c r="C10" s="2" t="s">
        <v>40</v>
      </c>
      <c r="D10" s="1" t="s">
        <v>14</v>
      </c>
      <c r="E10" s="1" t="s">
        <v>41</v>
      </c>
      <c r="F10" s="1" t="str">
        <f>SUBSTITUTE(Table1[[#This Row],[asset_tag]], "-", "")</f>
        <v>DDC4CY002533</v>
      </c>
      <c r="G10" s="1" t="s">
        <v>42</v>
      </c>
      <c r="H10" s="1" t="str">
        <f>IFERROR(VLOOKUP(F10, [1]BQ25_laptop_data_mod!A:C, 3, FALSE), "no MAC found")</f>
        <v>10-98-19-4A-51-39</v>
      </c>
      <c r="I10" s="1" t="s">
        <v>17</v>
      </c>
      <c r="J10" s="1" t="s">
        <v>18</v>
      </c>
      <c r="K10" s="1">
        <v>2250</v>
      </c>
      <c r="L10" s="3">
        <f>IFERROR(--_xlfn.TEXTBEFORE(Table1[[#This Row],[slot_number]],"-"),9999)</f>
        <v>1</v>
      </c>
      <c r="M10" s="3">
        <f>IFERROR(--_xlfn.TEXTAFTER(Table1[[#This Row],[slot_number]],"-"),9999)</f>
        <v>9</v>
      </c>
    </row>
    <row r="11" spans="1:101" s="3" customFormat="1" x14ac:dyDescent="0.25">
      <c r="A11" s="1">
        <v>283</v>
      </c>
      <c r="B11" s="1" t="str">
        <f t="shared" si="0"/>
        <v>1</v>
      </c>
      <c r="C11" s="2" t="s">
        <v>43</v>
      </c>
      <c r="D11" s="1" t="s">
        <v>14</v>
      </c>
      <c r="E11" s="1" t="s">
        <v>44</v>
      </c>
      <c r="F11" s="1" t="str">
        <f>SUBSTITUTE(Table1[[#This Row],[asset_tag]], "-", "")</f>
        <v>DDC4CY002604</v>
      </c>
      <c r="G11" s="1" t="s">
        <v>45</v>
      </c>
      <c r="H11" s="1" t="str">
        <f>IFERROR(VLOOKUP(F11, [1]BQ25_laptop_data_mod!A:C, 3, FALSE), "no MAC found")</f>
        <v>10-98-19-4A-66-42</v>
      </c>
      <c r="I11" s="1" t="s">
        <v>17</v>
      </c>
      <c r="J11" s="1" t="s">
        <v>18</v>
      </c>
      <c r="K11" s="1">
        <v>2250</v>
      </c>
      <c r="L11" s="3">
        <f>IFERROR(--_xlfn.TEXTBEFORE(Table1[[#This Row],[slot_number]],"-"),9999)</f>
        <v>1</v>
      </c>
      <c r="M11" s="3">
        <f>IFERROR(--_xlfn.TEXTAFTER(Table1[[#This Row],[slot_number]],"-"),9999)</f>
        <v>10</v>
      </c>
    </row>
    <row r="12" spans="1:101" s="3" customFormat="1" x14ac:dyDescent="0.25">
      <c r="A12" s="1">
        <v>283</v>
      </c>
      <c r="B12" s="1" t="str">
        <f t="shared" si="0"/>
        <v>1</v>
      </c>
      <c r="C12" s="2" t="s">
        <v>46</v>
      </c>
      <c r="D12" s="1" t="s">
        <v>14</v>
      </c>
      <c r="E12" s="1" t="s">
        <v>47</v>
      </c>
      <c r="F12" s="1" t="str">
        <f>SUBSTITUTE(Table1[[#This Row],[asset_tag]], "-", "")</f>
        <v>DDC4CY002685</v>
      </c>
      <c r="G12" s="1" t="s">
        <v>48</v>
      </c>
      <c r="H12" s="1" t="str">
        <f>IFERROR(VLOOKUP(F12, [1]BQ25_laptop_data_mod!A:C, 3, FALSE), "no MAC found")</f>
        <v>10-98-19-4A-51-FA</v>
      </c>
      <c r="I12" s="1" t="s">
        <v>17</v>
      </c>
      <c r="J12" s="1" t="s">
        <v>18</v>
      </c>
      <c r="K12" s="1">
        <v>2250</v>
      </c>
      <c r="L12" s="3">
        <f>IFERROR(--_xlfn.TEXTBEFORE(Table1[[#This Row],[slot_number]],"-"),9999)</f>
        <v>1</v>
      </c>
      <c r="M12" s="3">
        <f>IFERROR(--_xlfn.TEXTAFTER(Table1[[#This Row],[slot_number]],"-"),9999)</f>
        <v>11</v>
      </c>
    </row>
    <row r="13" spans="1:101" s="3" customFormat="1" x14ac:dyDescent="0.25">
      <c r="A13" s="1">
        <v>283</v>
      </c>
      <c r="B13" s="1" t="str">
        <f t="shared" si="0"/>
        <v>1</v>
      </c>
      <c r="C13" s="2" t="s">
        <v>49</v>
      </c>
      <c r="D13" s="1" t="s">
        <v>14</v>
      </c>
      <c r="E13" s="1" t="s">
        <v>50</v>
      </c>
      <c r="F13" s="1" t="str">
        <f>SUBSTITUTE(Table1[[#This Row],[asset_tag]], "-", "")</f>
        <v>DDC4CY002651</v>
      </c>
      <c r="G13" s="1" t="s">
        <v>51</v>
      </c>
      <c r="H13" s="1" t="str">
        <f>IFERROR(VLOOKUP(F13, [1]BQ25_laptop_data_mod!A:C, 3, FALSE), "no MAC found")</f>
        <v>10-98-19-4A-65-2F</v>
      </c>
      <c r="I13" s="1" t="s">
        <v>17</v>
      </c>
      <c r="J13" s="1" t="s">
        <v>18</v>
      </c>
      <c r="K13" s="1">
        <v>2250</v>
      </c>
      <c r="L13" s="3">
        <f>IFERROR(--_xlfn.TEXTBEFORE(Table1[[#This Row],[slot_number]],"-"),9999)</f>
        <v>1</v>
      </c>
      <c r="M13" s="3">
        <f>IFERROR(--_xlfn.TEXTAFTER(Table1[[#This Row],[slot_number]],"-"),9999)</f>
        <v>12</v>
      </c>
      <c r="CW13" s="4"/>
    </row>
    <row r="14" spans="1:101" s="3" customFormat="1" x14ac:dyDescent="0.25">
      <c r="A14" s="1">
        <v>283</v>
      </c>
      <c r="B14" s="1" t="str">
        <f t="shared" si="0"/>
        <v>1</v>
      </c>
      <c r="C14" s="2" t="s">
        <v>52</v>
      </c>
      <c r="D14" s="1" t="s">
        <v>14</v>
      </c>
      <c r="E14" s="1" t="s">
        <v>53</v>
      </c>
      <c r="F14" s="1" t="str">
        <f>SUBSTITUTE(Table1[[#This Row],[asset_tag]], "-", "")</f>
        <v>DDC4CY002607</v>
      </c>
      <c r="G14" s="1" t="s">
        <v>54</v>
      </c>
      <c r="H14" s="1" t="str">
        <f>IFERROR(VLOOKUP(F14, [1]BQ25_laptop_data_mod!A:C, 3, FALSE), "no MAC found")</f>
        <v>10-98-19-4A-50-F1</v>
      </c>
      <c r="I14" s="1" t="s">
        <v>17</v>
      </c>
      <c r="J14" s="1" t="s">
        <v>18</v>
      </c>
      <c r="K14" s="1">
        <v>2250</v>
      </c>
      <c r="L14" s="3">
        <f>IFERROR(--_xlfn.TEXTBEFORE(Table1[[#This Row],[slot_number]],"-"),9999)</f>
        <v>1</v>
      </c>
      <c r="M14" s="3">
        <f>IFERROR(--_xlfn.TEXTAFTER(Table1[[#This Row],[slot_number]],"-"),9999)</f>
        <v>13</v>
      </c>
      <c r="CW14" s="5"/>
    </row>
    <row r="15" spans="1:101" s="3" customFormat="1" x14ac:dyDescent="0.25">
      <c r="A15" s="1">
        <v>283</v>
      </c>
      <c r="B15" s="1" t="str">
        <f t="shared" si="0"/>
        <v>1</v>
      </c>
      <c r="C15" s="2" t="s">
        <v>55</v>
      </c>
      <c r="D15" s="1" t="s">
        <v>14</v>
      </c>
      <c r="E15" s="1" t="s">
        <v>56</v>
      </c>
      <c r="F15" s="1" t="str">
        <f>SUBSTITUTE(Table1[[#This Row],[asset_tag]], "-", "")</f>
        <v>DDC4CY002751</v>
      </c>
      <c r="G15" s="1" t="s">
        <v>57</v>
      </c>
      <c r="H15" s="1" t="str">
        <f>IFERROR(VLOOKUP(F15, [1]BQ25_laptop_data_mod!A:C, 3, FALSE), "no MAC found")</f>
        <v>AC-B4-80-45-6B-4A</v>
      </c>
      <c r="I15" s="1" t="s">
        <v>17</v>
      </c>
      <c r="J15" s="1" t="s">
        <v>18</v>
      </c>
      <c r="K15" s="1">
        <v>2335</v>
      </c>
      <c r="L15" s="3">
        <f>IFERROR(--_xlfn.TEXTBEFORE(Table1[[#This Row],[slot_number]],"-"),9999)</f>
        <v>1</v>
      </c>
      <c r="M15" s="3">
        <f>IFERROR(--_xlfn.TEXTAFTER(Table1[[#This Row],[slot_number]],"-"),9999)</f>
        <v>14</v>
      </c>
    </row>
    <row r="16" spans="1:101" s="3" customFormat="1" x14ac:dyDescent="0.25">
      <c r="A16" s="1">
        <v>283</v>
      </c>
      <c r="B16" s="1" t="str">
        <f t="shared" si="0"/>
        <v>1</v>
      </c>
      <c r="C16" s="2" t="s">
        <v>58</v>
      </c>
      <c r="D16" s="1" t="s">
        <v>14</v>
      </c>
      <c r="E16" s="1" t="s">
        <v>59</v>
      </c>
      <c r="F16" s="1" t="str">
        <f>SUBSTITUTE(Table1[[#This Row],[asset_tag]], "-", "")</f>
        <v>DDC4CY002507</v>
      </c>
      <c r="G16" s="1" t="s">
        <v>60</v>
      </c>
      <c r="H16" s="1" t="str">
        <f>IFERROR(VLOOKUP(F16, [1]BQ25_laptop_data_mod!A:C, 3, FALSE), "no MAC found")</f>
        <v>10-98-19-4A-66-5F</v>
      </c>
      <c r="I16" s="1" t="s">
        <v>17</v>
      </c>
      <c r="J16" s="1" t="s">
        <v>18</v>
      </c>
      <c r="K16" s="1">
        <v>2250</v>
      </c>
      <c r="L16" s="3">
        <f>IFERROR(--_xlfn.TEXTBEFORE(Table1[[#This Row],[slot_number]],"-"),9999)</f>
        <v>1</v>
      </c>
      <c r="M16" s="3">
        <f>IFERROR(--_xlfn.TEXTAFTER(Table1[[#This Row],[slot_number]],"-"),9999)</f>
        <v>15</v>
      </c>
    </row>
    <row r="17" spans="1:101" s="3" customFormat="1" x14ac:dyDescent="0.25">
      <c r="A17" s="1">
        <v>283</v>
      </c>
      <c r="B17" s="1" t="str">
        <f t="shared" si="0"/>
        <v>1</v>
      </c>
      <c r="C17" s="2" t="s">
        <v>61</v>
      </c>
      <c r="D17" s="1" t="s">
        <v>14</v>
      </c>
      <c r="E17" s="1" t="s">
        <v>62</v>
      </c>
      <c r="F17" s="1" t="str">
        <f>SUBSTITUTE(Table1[[#This Row],[asset_tag]], "-", "")</f>
        <v>DDC4CY002764</v>
      </c>
      <c r="G17" s="1" t="s">
        <v>63</v>
      </c>
      <c r="H17" s="1" t="str">
        <f>IFERROR(VLOOKUP(F17, [1]BQ25_laptop_data_mod!A:C, 3, FALSE), "no MAC found")</f>
        <v>AC-B4-80-45-6B-9A</v>
      </c>
      <c r="I17" s="1" t="s">
        <v>17</v>
      </c>
      <c r="J17" s="1" t="s">
        <v>18</v>
      </c>
      <c r="K17" s="1">
        <v>2335</v>
      </c>
      <c r="L17" s="3">
        <f>IFERROR(--_xlfn.TEXTBEFORE(Table1[[#This Row],[slot_number]],"-"),9999)</f>
        <v>1</v>
      </c>
      <c r="M17" s="3">
        <f>IFERROR(--_xlfn.TEXTAFTER(Table1[[#This Row],[slot_number]],"-"),9999)</f>
        <v>16</v>
      </c>
      <c r="CV17" s="5"/>
      <c r="CW17" s="5"/>
    </row>
    <row r="18" spans="1:101" s="3" customFormat="1" x14ac:dyDescent="0.25">
      <c r="A18" s="1">
        <v>283</v>
      </c>
      <c r="B18" s="1" t="str">
        <f t="shared" si="0"/>
        <v>1</v>
      </c>
      <c r="C18" s="2" t="s">
        <v>64</v>
      </c>
      <c r="D18" s="1" t="s">
        <v>14</v>
      </c>
      <c r="E18" s="1" t="s">
        <v>65</v>
      </c>
      <c r="F18" s="1" t="str">
        <f>SUBSTITUTE(Table1[[#This Row],[asset_tag]], "-", "")</f>
        <v>DDC4CY002526</v>
      </c>
      <c r="G18" s="1" t="s">
        <v>66</v>
      </c>
      <c r="H18" s="1" t="str">
        <f>IFERROR(VLOOKUP(F18, [1]BQ25_laptop_data_mod!A:C, 3, FALSE), "no MAC found")</f>
        <v>10-98-19-4A-51-9A</v>
      </c>
      <c r="I18" s="1" t="s">
        <v>17</v>
      </c>
      <c r="J18" s="1" t="s">
        <v>18</v>
      </c>
      <c r="K18" s="1">
        <v>2250</v>
      </c>
      <c r="L18" s="3">
        <f>IFERROR(--_xlfn.TEXTBEFORE(Table1[[#This Row],[slot_number]],"-"),9999)</f>
        <v>1</v>
      </c>
      <c r="M18" s="3">
        <f>IFERROR(--_xlfn.TEXTAFTER(Table1[[#This Row],[slot_number]],"-"),9999)</f>
        <v>17</v>
      </c>
      <c r="CV18" s="5"/>
      <c r="CW18" s="5"/>
    </row>
    <row r="19" spans="1:101" s="3" customFormat="1" x14ac:dyDescent="0.25">
      <c r="A19" s="1">
        <v>283</v>
      </c>
      <c r="B19" s="1" t="str">
        <f t="shared" si="0"/>
        <v>1</v>
      </c>
      <c r="C19" s="2" t="s">
        <v>67</v>
      </c>
      <c r="D19" s="1" t="s">
        <v>14</v>
      </c>
      <c r="E19" s="1" t="s">
        <v>68</v>
      </c>
      <c r="F19" s="1" t="str">
        <f>SUBSTITUTE(Table1[[#This Row],[asset_tag]], "-", "")</f>
        <v>DDC4CY002740</v>
      </c>
      <c r="G19" s="1" t="s">
        <v>69</v>
      </c>
      <c r="H19" s="1" t="str">
        <f>IFERROR(VLOOKUP(F19, [1]BQ25_laptop_data_mod!A:C, 3, FALSE), "no MAC found")</f>
        <v>AC-B4-80-45-6B-61</v>
      </c>
      <c r="I19" s="1" t="s">
        <v>17</v>
      </c>
      <c r="J19" s="1" t="s">
        <v>18</v>
      </c>
      <c r="K19" s="1">
        <v>2335</v>
      </c>
      <c r="L19" s="3">
        <f>IFERROR(--_xlfn.TEXTBEFORE(Table1[[#This Row],[slot_number]],"-"),9999)</f>
        <v>1</v>
      </c>
      <c r="M19" s="3">
        <f>IFERROR(--_xlfn.TEXTAFTER(Table1[[#This Row],[slot_number]],"-"),9999)</f>
        <v>18</v>
      </c>
      <c r="CV19" s="5"/>
      <c r="CW19" s="5"/>
    </row>
    <row r="20" spans="1:101" s="3" customFormat="1" x14ac:dyDescent="0.25">
      <c r="A20" s="1">
        <v>283</v>
      </c>
      <c r="B20" s="1" t="str">
        <f t="shared" si="0"/>
        <v>1</v>
      </c>
      <c r="C20" s="2" t="s">
        <v>70</v>
      </c>
      <c r="D20" s="1" t="s">
        <v>14</v>
      </c>
      <c r="E20" s="1" t="s">
        <v>71</v>
      </c>
      <c r="F20" s="1" t="str">
        <f>SUBSTITUTE(Table1[[#This Row],[asset_tag]], "-", "")</f>
        <v>DDC4CY002577</v>
      </c>
      <c r="G20" s="1" t="s">
        <v>72</v>
      </c>
      <c r="H20" s="1" t="str">
        <f>IFERROR(VLOOKUP(F20, [1]BQ25_laptop_data_mod!A:C, 3, FALSE), "no MAC found")</f>
        <v>10-98-19-4A-51-4A</v>
      </c>
      <c r="I20" s="1" t="s">
        <v>17</v>
      </c>
      <c r="J20" s="1" t="s">
        <v>18</v>
      </c>
      <c r="K20" s="1">
        <v>2250</v>
      </c>
      <c r="L20" s="3">
        <f>IFERROR(--_xlfn.TEXTBEFORE(Table1[[#This Row],[slot_number]],"-"),9999)</f>
        <v>1</v>
      </c>
      <c r="M20" s="3">
        <f>IFERROR(--_xlfn.TEXTAFTER(Table1[[#This Row],[slot_number]],"-"),9999)</f>
        <v>19</v>
      </c>
      <c r="CV20" s="5"/>
      <c r="CW20" s="5"/>
    </row>
    <row r="21" spans="1:101" s="3" customFormat="1" x14ac:dyDescent="0.25">
      <c r="A21" s="1">
        <v>283</v>
      </c>
      <c r="B21" s="1" t="str">
        <f t="shared" si="0"/>
        <v>1</v>
      </c>
      <c r="C21" s="2" t="s">
        <v>73</v>
      </c>
      <c r="D21" s="1" t="s">
        <v>14</v>
      </c>
      <c r="E21" s="1" t="s">
        <v>74</v>
      </c>
      <c r="F21" s="1" t="str">
        <f>SUBSTITUTE(Table1[[#This Row],[asset_tag]], "-", "")</f>
        <v>DDC4CY002544</v>
      </c>
      <c r="G21" s="1" t="s">
        <v>75</v>
      </c>
      <c r="H21" s="1" t="str">
        <f>IFERROR(VLOOKUP(F21, [1]BQ25_laptop_data_mod!A:C, 3, FALSE), "no MAC found")</f>
        <v>10-98-19-4A-51-EB</v>
      </c>
      <c r="I21" s="1" t="s">
        <v>17</v>
      </c>
      <c r="J21" s="1" t="s">
        <v>18</v>
      </c>
      <c r="K21" s="1">
        <v>2250</v>
      </c>
      <c r="L21" s="3">
        <f>IFERROR(--_xlfn.TEXTBEFORE(Table1[[#This Row],[slot_number]],"-"),9999)</f>
        <v>1</v>
      </c>
      <c r="M21" s="3">
        <f>IFERROR(--_xlfn.TEXTAFTER(Table1[[#This Row],[slot_number]],"-"),9999)</f>
        <v>20</v>
      </c>
      <c r="CT21" s="6"/>
      <c r="CV21" s="5"/>
      <c r="CW21" s="5"/>
    </row>
    <row r="22" spans="1:101" s="3" customFormat="1" x14ac:dyDescent="0.25">
      <c r="A22" s="1">
        <v>283</v>
      </c>
      <c r="B22" s="1" t="str">
        <f t="shared" si="0"/>
        <v>1</v>
      </c>
      <c r="C22" s="2" t="s">
        <v>76</v>
      </c>
      <c r="D22" s="1" t="s">
        <v>14</v>
      </c>
      <c r="E22" s="1" t="s">
        <v>77</v>
      </c>
      <c r="F22" s="1" t="str">
        <f>SUBSTITUTE(Table1[[#This Row],[asset_tag]], "-", "")</f>
        <v>DDC4CY002549</v>
      </c>
      <c r="G22" s="1" t="s">
        <v>78</v>
      </c>
      <c r="H22" s="1" t="str">
        <f>IFERROR(VLOOKUP(F22, [1]BQ25_laptop_data_mod!A:C, 3, FALSE), "no MAC found")</f>
        <v>10-98-19-4A-51-1B</v>
      </c>
      <c r="I22" s="1" t="s">
        <v>17</v>
      </c>
      <c r="J22" s="1" t="s">
        <v>18</v>
      </c>
      <c r="K22" s="1">
        <v>2250</v>
      </c>
      <c r="L22" s="3">
        <f>IFERROR(--_xlfn.TEXTBEFORE(Table1[[#This Row],[slot_number]],"-"),9999)</f>
        <v>1</v>
      </c>
      <c r="M22" s="3">
        <f>IFERROR(--_xlfn.TEXTAFTER(Table1[[#This Row],[slot_number]],"-"),9999)</f>
        <v>21</v>
      </c>
      <c r="CV22" s="5"/>
      <c r="CW22" s="5"/>
    </row>
    <row r="23" spans="1:101" s="3" customFormat="1" x14ac:dyDescent="0.25">
      <c r="A23" s="1">
        <v>283</v>
      </c>
      <c r="B23" s="1" t="str">
        <f t="shared" si="0"/>
        <v>1</v>
      </c>
      <c r="C23" s="2" t="s">
        <v>79</v>
      </c>
      <c r="D23" s="1" t="s">
        <v>14</v>
      </c>
      <c r="E23" s="1" t="s">
        <v>80</v>
      </c>
      <c r="F23" s="1" t="str">
        <f>SUBSTITUTE(Table1[[#This Row],[asset_tag]], "-", "")</f>
        <v>DDC4CY002634</v>
      </c>
      <c r="G23" s="1" t="s">
        <v>81</v>
      </c>
      <c r="H23" s="1" t="str">
        <f>IFERROR(VLOOKUP(F23, [1]BQ25_laptop_data_mod!A:C, 3, FALSE), "no MAC found")</f>
        <v>10-98-19-4A-51-DB</v>
      </c>
      <c r="I23" s="1" t="s">
        <v>17</v>
      </c>
      <c r="J23" s="1" t="s">
        <v>18</v>
      </c>
      <c r="K23" s="1">
        <v>2250</v>
      </c>
      <c r="L23" s="3">
        <f>IFERROR(--_xlfn.TEXTBEFORE(Table1[[#This Row],[slot_number]],"-"),9999)</f>
        <v>1</v>
      </c>
      <c r="M23" s="3">
        <f>IFERROR(--_xlfn.TEXTAFTER(Table1[[#This Row],[slot_number]],"-"),9999)</f>
        <v>22</v>
      </c>
      <c r="CV23" s="5"/>
      <c r="CW23" s="5"/>
    </row>
    <row r="24" spans="1:101" s="3" customFormat="1" x14ac:dyDescent="0.25">
      <c r="A24" s="1">
        <v>283</v>
      </c>
      <c r="B24" s="1" t="str">
        <f t="shared" si="0"/>
        <v>1</v>
      </c>
      <c r="C24" s="2" t="s">
        <v>82</v>
      </c>
      <c r="D24" s="1" t="s">
        <v>14</v>
      </c>
      <c r="E24" s="1" t="s">
        <v>83</v>
      </c>
      <c r="F24" s="1" t="str">
        <f>SUBSTITUTE(Table1[[#This Row],[asset_tag]], "-", "")</f>
        <v>DDC4CY002673</v>
      </c>
      <c r="G24" s="1" t="s">
        <v>84</v>
      </c>
      <c r="H24" s="1" t="str">
        <f>IFERROR(VLOOKUP(F24, [1]BQ25_laptop_data_mod!A:C, 3, FALSE), "no MAC found")</f>
        <v>10-98-19-4A-66-E6</v>
      </c>
      <c r="I24" s="1" t="s">
        <v>17</v>
      </c>
      <c r="J24" s="1" t="s">
        <v>18</v>
      </c>
      <c r="K24" s="1">
        <v>2250</v>
      </c>
      <c r="L24" s="3">
        <f>IFERROR(--_xlfn.TEXTBEFORE(Table1[[#This Row],[slot_number]],"-"),9999)</f>
        <v>1</v>
      </c>
      <c r="M24" s="3">
        <f>IFERROR(--_xlfn.TEXTAFTER(Table1[[#This Row],[slot_number]],"-"),9999)</f>
        <v>23</v>
      </c>
    </row>
    <row r="25" spans="1:101" s="3" customFormat="1" x14ac:dyDescent="0.25">
      <c r="A25" s="1">
        <v>283</v>
      </c>
      <c r="B25" s="1" t="str">
        <f t="shared" si="0"/>
        <v>1</v>
      </c>
      <c r="C25" s="2" t="s">
        <v>85</v>
      </c>
      <c r="D25" s="1" t="s">
        <v>14</v>
      </c>
      <c r="E25" s="1" t="s">
        <v>86</v>
      </c>
      <c r="F25" s="1" t="str">
        <f>SUBSTITUTE(Table1[[#This Row],[asset_tag]], "-", "")</f>
        <v>DDC4CY002559</v>
      </c>
      <c r="G25" s="1" t="s">
        <v>87</v>
      </c>
      <c r="H25" s="1" t="str">
        <f>IFERROR(VLOOKUP(F25, [1]BQ25_laptop_data_mod!A:C, 3, FALSE), "no MAC found")</f>
        <v>10-98-19-4A-52-CC</v>
      </c>
      <c r="I25" s="1" t="s">
        <v>17</v>
      </c>
      <c r="J25" s="1" t="s">
        <v>18</v>
      </c>
      <c r="K25" s="1">
        <v>2250</v>
      </c>
      <c r="L25" s="3">
        <f>IFERROR(--_xlfn.TEXTBEFORE(Table1[[#This Row],[slot_number]],"-"),9999)</f>
        <v>1</v>
      </c>
      <c r="M25" s="3">
        <f>IFERROR(--_xlfn.TEXTAFTER(Table1[[#This Row],[slot_number]],"-"),9999)</f>
        <v>24</v>
      </c>
    </row>
    <row r="26" spans="1:101" s="3" customFormat="1" x14ac:dyDescent="0.25">
      <c r="A26" s="1">
        <v>283</v>
      </c>
      <c r="B26" s="1" t="str">
        <f t="shared" si="0"/>
        <v>1</v>
      </c>
      <c r="C26" s="2" t="s">
        <v>88</v>
      </c>
      <c r="D26" s="1" t="s">
        <v>14</v>
      </c>
      <c r="E26" s="1" t="s">
        <v>89</v>
      </c>
      <c r="F26" s="1" t="str">
        <f>SUBSTITUTE(Table1[[#This Row],[asset_tag]], "-", "")</f>
        <v>DDC4CY002561</v>
      </c>
      <c r="G26" s="1" t="s">
        <v>90</v>
      </c>
      <c r="H26" s="1" t="str">
        <f>IFERROR(VLOOKUP(F26, [1]BQ25_laptop_data_mod!A:C, 3, FALSE), "no MAC found")</f>
        <v>10-98-19-4A-65-3D</v>
      </c>
      <c r="I26" s="1" t="s">
        <v>17</v>
      </c>
      <c r="J26" s="1" t="s">
        <v>18</v>
      </c>
      <c r="K26" s="1">
        <v>2250</v>
      </c>
      <c r="L26" s="3">
        <f>IFERROR(--_xlfn.TEXTBEFORE(Table1[[#This Row],[slot_number]],"-"),9999)</f>
        <v>1</v>
      </c>
      <c r="M26" s="3">
        <f>IFERROR(--_xlfn.TEXTAFTER(Table1[[#This Row],[slot_number]],"-"),9999)</f>
        <v>25</v>
      </c>
    </row>
    <row r="27" spans="1:101" s="3" customFormat="1" x14ac:dyDescent="0.25">
      <c r="A27" s="1">
        <v>283</v>
      </c>
      <c r="B27" s="1" t="str">
        <f t="shared" si="0"/>
        <v>1</v>
      </c>
      <c r="C27" s="2" t="s">
        <v>91</v>
      </c>
      <c r="D27" s="1" t="s">
        <v>14</v>
      </c>
      <c r="E27" s="1" t="s">
        <v>92</v>
      </c>
      <c r="F27" s="1" t="str">
        <f>SUBSTITUTE(Table1[[#This Row],[asset_tag]], "-", "")</f>
        <v>DDC4CY002554</v>
      </c>
      <c r="G27" s="1" t="s">
        <v>93</v>
      </c>
      <c r="H27" s="1" t="str">
        <f>IFERROR(VLOOKUP(F27, [1]BQ25_laptop_data_mod!A:C, 3, FALSE), "no MAC found")</f>
        <v>10-98-19-4A-51-A9</v>
      </c>
      <c r="I27" s="1" t="s">
        <v>17</v>
      </c>
      <c r="J27" s="1" t="s">
        <v>18</v>
      </c>
      <c r="K27" s="1">
        <v>2250</v>
      </c>
      <c r="L27" s="3">
        <f>IFERROR(--_xlfn.TEXTBEFORE(Table1[[#This Row],[slot_number]],"-"),9999)</f>
        <v>1</v>
      </c>
      <c r="M27" s="3">
        <f>IFERROR(--_xlfn.TEXTAFTER(Table1[[#This Row],[slot_number]],"-"),9999)</f>
        <v>26</v>
      </c>
      <c r="CV27" s="4"/>
      <c r="CW27" s="4"/>
    </row>
    <row r="28" spans="1:101" s="3" customFormat="1" x14ac:dyDescent="0.25">
      <c r="A28" s="1">
        <v>283</v>
      </c>
      <c r="B28" s="1" t="str">
        <f t="shared" si="0"/>
        <v>1</v>
      </c>
      <c r="C28" s="2" t="s">
        <v>94</v>
      </c>
      <c r="D28" s="1" t="s">
        <v>14</v>
      </c>
      <c r="E28" s="1" t="s">
        <v>95</v>
      </c>
      <c r="F28" s="1" t="str">
        <f>SUBSTITUTE(Table1[[#This Row],[asset_tag]], "-", "")</f>
        <v>DDC4CY002576</v>
      </c>
      <c r="G28" s="1" t="s">
        <v>96</v>
      </c>
      <c r="H28" s="1" t="str">
        <f>IFERROR(VLOOKUP(F28, [1]BQ25_laptop_data_mod!A:C, 3, FALSE), "no MAC found")</f>
        <v>10-98-19-4A-52-33</v>
      </c>
      <c r="I28" s="1" t="s">
        <v>17</v>
      </c>
      <c r="J28" s="1" t="s">
        <v>18</v>
      </c>
      <c r="K28" s="1">
        <v>2250</v>
      </c>
      <c r="L28" s="3">
        <f>IFERROR(--_xlfn.TEXTBEFORE(Table1[[#This Row],[slot_number]],"-"),9999)</f>
        <v>1</v>
      </c>
      <c r="M28" s="3">
        <f>IFERROR(--_xlfn.TEXTAFTER(Table1[[#This Row],[slot_number]],"-"),9999)</f>
        <v>27</v>
      </c>
    </row>
    <row r="29" spans="1:101" s="3" customFormat="1" x14ac:dyDescent="0.25">
      <c r="A29" s="1">
        <v>283</v>
      </c>
      <c r="B29" s="1" t="str">
        <f t="shared" si="0"/>
        <v>1</v>
      </c>
      <c r="C29" s="2" t="s">
        <v>97</v>
      </c>
      <c r="D29" s="1" t="s">
        <v>14</v>
      </c>
      <c r="E29" s="1" t="s">
        <v>98</v>
      </c>
      <c r="F29" s="1" t="str">
        <f>SUBSTITUTE(Table1[[#This Row],[asset_tag]], "-", "")</f>
        <v>DDC4CY002662</v>
      </c>
      <c r="G29" s="1" t="s">
        <v>99</v>
      </c>
      <c r="H29" s="1" t="str">
        <f>IFERROR(VLOOKUP(F29, [1]BQ25_laptop_data_mod!A:C, 3, FALSE), "no MAC found")</f>
        <v>10-98-19-4A-66-4F</v>
      </c>
      <c r="I29" s="1" t="s">
        <v>17</v>
      </c>
      <c r="J29" s="1" t="s">
        <v>18</v>
      </c>
      <c r="K29" s="1">
        <v>2250</v>
      </c>
      <c r="L29" s="3">
        <f>IFERROR(--_xlfn.TEXTBEFORE(Table1[[#This Row],[slot_number]],"-"),9999)</f>
        <v>1</v>
      </c>
      <c r="M29" s="3">
        <f>IFERROR(--_xlfn.TEXTAFTER(Table1[[#This Row],[slot_number]],"-"),9999)</f>
        <v>28</v>
      </c>
    </row>
    <row r="30" spans="1:101" s="3" customFormat="1" x14ac:dyDescent="0.25">
      <c r="A30" s="1">
        <v>283</v>
      </c>
      <c r="B30" s="1" t="str">
        <f t="shared" si="0"/>
        <v>1</v>
      </c>
      <c r="C30" s="2" t="s">
        <v>100</v>
      </c>
      <c r="D30" s="1" t="s">
        <v>14</v>
      </c>
      <c r="E30" s="1" t="s">
        <v>101</v>
      </c>
      <c r="F30" s="1" t="str">
        <f>SUBSTITUTE(Table1[[#This Row],[asset_tag]], "-", "")</f>
        <v>DDC4CY002596</v>
      </c>
      <c r="G30" s="1" t="s">
        <v>102</v>
      </c>
      <c r="H30" s="1" t="str">
        <f>IFERROR(VLOOKUP(F30, [1]BQ25_laptop_data_mod!A:C, 3, FALSE), "no MAC found")</f>
        <v>10-98-19-4A-50-F5</v>
      </c>
      <c r="I30" s="1" t="s">
        <v>17</v>
      </c>
      <c r="J30" s="1" t="s">
        <v>18</v>
      </c>
      <c r="K30" s="1">
        <v>2250</v>
      </c>
      <c r="L30" s="3">
        <f>IFERROR(--_xlfn.TEXTBEFORE(Table1[[#This Row],[slot_number]],"-"),9999)</f>
        <v>1</v>
      </c>
      <c r="M30" s="3">
        <f>IFERROR(--_xlfn.TEXTAFTER(Table1[[#This Row],[slot_number]],"-"),9999)</f>
        <v>29</v>
      </c>
    </row>
    <row r="31" spans="1:101" s="3" customFormat="1" x14ac:dyDescent="0.25">
      <c r="A31" s="1">
        <v>283</v>
      </c>
      <c r="B31" s="1" t="str">
        <f t="shared" si="0"/>
        <v>1</v>
      </c>
      <c r="C31" s="2" t="s">
        <v>103</v>
      </c>
      <c r="D31" s="1" t="s">
        <v>14</v>
      </c>
      <c r="E31" s="1" t="s">
        <v>104</v>
      </c>
      <c r="F31" s="1" t="str">
        <f>SUBSTITUTE(Table1[[#This Row],[asset_tag]], "-", "")</f>
        <v>DDC4CY002632</v>
      </c>
      <c r="G31" s="1" t="s">
        <v>105</v>
      </c>
      <c r="H31" s="1" t="str">
        <f>IFERROR(VLOOKUP(F31, [1]BQ25_laptop_data_mod!A:C, 3, FALSE), "no MAC found")</f>
        <v>10-98-19-4A-52-12</v>
      </c>
      <c r="I31" s="1" t="s">
        <v>17</v>
      </c>
      <c r="J31" s="1" t="s">
        <v>18</v>
      </c>
      <c r="K31" s="1">
        <v>2250</v>
      </c>
      <c r="L31" s="3">
        <f>IFERROR(--_xlfn.TEXTBEFORE(Table1[[#This Row],[slot_number]],"-"),9999)</f>
        <v>1</v>
      </c>
      <c r="M31" s="3">
        <f>IFERROR(--_xlfn.TEXTAFTER(Table1[[#This Row],[slot_number]],"-"),9999)</f>
        <v>30</v>
      </c>
    </row>
    <row r="32" spans="1:101" s="3" customFormat="1" x14ac:dyDescent="0.25">
      <c r="A32" s="1">
        <v>283</v>
      </c>
      <c r="B32" s="1" t="str">
        <f t="shared" si="0"/>
        <v>2</v>
      </c>
      <c r="C32" s="2" t="s">
        <v>106</v>
      </c>
      <c r="D32" s="1" t="s">
        <v>14</v>
      </c>
      <c r="E32" s="1" t="s">
        <v>107</v>
      </c>
      <c r="F32" s="1" t="str">
        <f>SUBSTITUTE(Table1[[#This Row],[asset_tag]], "-", "")</f>
        <v>DDC4CY002659</v>
      </c>
      <c r="G32" s="1" t="s">
        <v>108</v>
      </c>
      <c r="H32" s="1" t="str">
        <f>IFERROR(VLOOKUP(F32, [1]BQ25_laptop_data_mod!A:C, 3, FALSE), "no MAC found")</f>
        <v>10-98-19-4A-51-FE</v>
      </c>
      <c r="I32" s="1" t="s">
        <v>17</v>
      </c>
      <c r="J32" s="1" t="s">
        <v>18</v>
      </c>
      <c r="K32" s="1">
        <v>2250</v>
      </c>
      <c r="L32" s="3">
        <f>IFERROR(--_xlfn.TEXTBEFORE(Table1[[#This Row],[slot_number]],"-"),9999)</f>
        <v>2</v>
      </c>
      <c r="M32" s="3">
        <f>IFERROR(--_xlfn.TEXTAFTER(Table1[[#This Row],[slot_number]],"-"),9999)</f>
        <v>1</v>
      </c>
    </row>
    <row r="33" spans="1:101" s="3" customFormat="1" x14ac:dyDescent="0.25">
      <c r="A33" s="1">
        <v>283</v>
      </c>
      <c r="B33" s="1" t="str">
        <f t="shared" si="0"/>
        <v>2</v>
      </c>
      <c r="C33" s="2" t="s">
        <v>109</v>
      </c>
      <c r="D33" s="1" t="s">
        <v>14</v>
      </c>
      <c r="E33" s="1" t="s">
        <v>110</v>
      </c>
      <c r="F33" s="1" t="str">
        <f>SUBSTITUTE(Table1[[#This Row],[asset_tag]], "-", "")</f>
        <v>DDC4CY002599</v>
      </c>
      <c r="G33" s="1" t="s">
        <v>111</v>
      </c>
      <c r="H33" s="1" t="str">
        <f>IFERROR(VLOOKUP(F33, [1]BQ25_laptop_data_mod!A:C, 3, FALSE), "no MAC found")</f>
        <v>10-98-19-4A-52-84</v>
      </c>
      <c r="I33" s="1" t="s">
        <v>17</v>
      </c>
      <c r="J33" s="1" t="s">
        <v>18</v>
      </c>
      <c r="K33" s="1">
        <v>2250</v>
      </c>
      <c r="L33" s="3">
        <f>IFERROR(--_xlfn.TEXTBEFORE(Table1[[#This Row],[slot_number]],"-"),9999)</f>
        <v>2</v>
      </c>
      <c r="M33" s="3">
        <f>IFERROR(--_xlfn.TEXTAFTER(Table1[[#This Row],[slot_number]],"-"),9999)</f>
        <v>2</v>
      </c>
    </row>
    <row r="34" spans="1:101" s="3" customFormat="1" x14ac:dyDescent="0.25">
      <c r="A34" s="1">
        <v>283</v>
      </c>
      <c r="B34" s="1" t="str">
        <f t="shared" si="0"/>
        <v>2</v>
      </c>
      <c r="C34" s="2" t="s">
        <v>112</v>
      </c>
      <c r="D34" s="1" t="s">
        <v>14</v>
      </c>
      <c r="E34" s="1" t="s">
        <v>113</v>
      </c>
      <c r="F34" s="1" t="str">
        <f>SUBSTITUTE(Table1[[#This Row],[asset_tag]], "-", "")</f>
        <v>DDC4CY002583</v>
      </c>
      <c r="G34" s="1" t="s">
        <v>114</v>
      </c>
      <c r="H34" s="1" t="str">
        <f>IFERROR(VLOOKUP(F34, [1]BQ25_laptop_data_mod!A:C, 3, FALSE), "no MAC found")</f>
        <v>10-98-19-4A-65-D3</v>
      </c>
      <c r="I34" s="1" t="s">
        <v>17</v>
      </c>
      <c r="J34" s="1" t="s">
        <v>18</v>
      </c>
      <c r="K34" s="1">
        <v>2250</v>
      </c>
      <c r="L34" s="3">
        <f>IFERROR(--_xlfn.TEXTBEFORE(Table1[[#This Row],[slot_number]],"-"),9999)</f>
        <v>2</v>
      </c>
      <c r="M34" s="3">
        <f>IFERROR(--_xlfn.TEXTAFTER(Table1[[#This Row],[slot_number]],"-"),9999)</f>
        <v>3</v>
      </c>
    </row>
    <row r="35" spans="1:101" s="4" customFormat="1" x14ac:dyDescent="0.25">
      <c r="A35" s="1">
        <v>283</v>
      </c>
      <c r="B35" s="1" t="str">
        <f t="shared" si="0"/>
        <v>2</v>
      </c>
      <c r="C35" s="2" t="s">
        <v>115</v>
      </c>
      <c r="D35" s="1" t="s">
        <v>14</v>
      </c>
      <c r="E35" s="1" t="s">
        <v>116</v>
      </c>
      <c r="F35" s="1" t="str">
        <f>SUBSTITUTE(Table1[[#This Row],[asset_tag]], "-", "")</f>
        <v>DDC4CY002618</v>
      </c>
      <c r="G35" s="1" t="s">
        <v>117</v>
      </c>
      <c r="H35" s="1" t="str">
        <f>IFERROR(VLOOKUP(F35, [1]BQ25_laptop_data_mod!A:C, 3, FALSE), "no MAC found")</f>
        <v>10-98-19-4A-51-BF</v>
      </c>
      <c r="I35" s="1" t="s">
        <v>17</v>
      </c>
      <c r="J35" s="1" t="s">
        <v>18</v>
      </c>
      <c r="K35" s="1">
        <v>2250</v>
      </c>
      <c r="L35" s="3">
        <f>IFERROR(--_xlfn.TEXTBEFORE(Table1[[#This Row],[slot_number]],"-"),9999)</f>
        <v>2</v>
      </c>
      <c r="M35" s="3">
        <f>IFERROR(--_xlfn.TEXTAFTER(Table1[[#This Row],[slot_number]],"-"),9999)</f>
        <v>4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s="3" customFormat="1" x14ac:dyDescent="0.25">
      <c r="A36" s="1">
        <v>283</v>
      </c>
      <c r="B36" s="1" t="str">
        <f t="shared" si="0"/>
        <v>2</v>
      </c>
      <c r="C36" s="2" t="s">
        <v>118</v>
      </c>
      <c r="D36" s="1" t="s">
        <v>14</v>
      </c>
      <c r="E36" s="1" t="s">
        <v>119</v>
      </c>
      <c r="F36" s="1" t="str">
        <f>SUBSTITUTE(Table1[[#This Row],[asset_tag]], "-", "")</f>
        <v>DDC4CY002614</v>
      </c>
      <c r="G36" s="1" t="s">
        <v>120</v>
      </c>
      <c r="H36" s="1" t="str">
        <f>IFERROR(VLOOKUP(F36, [1]BQ25_laptop_data_mod!A:C, 3, FALSE), "no MAC found")</f>
        <v>10-98-19-4A-50-FA</v>
      </c>
      <c r="I36" s="1" t="s">
        <v>17</v>
      </c>
      <c r="J36" s="1" t="s">
        <v>18</v>
      </c>
      <c r="K36" s="1">
        <v>2250</v>
      </c>
      <c r="L36" s="3">
        <f>IFERROR(--_xlfn.TEXTBEFORE(Table1[[#This Row],[slot_number]],"-"),9999)</f>
        <v>2</v>
      </c>
      <c r="M36" s="3">
        <f>IFERROR(--_xlfn.TEXTAFTER(Table1[[#This Row],[slot_number]],"-"),9999)</f>
        <v>5</v>
      </c>
    </row>
    <row r="37" spans="1:101" s="3" customFormat="1" x14ac:dyDescent="0.25">
      <c r="A37" s="1">
        <v>283</v>
      </c>
      <c r="B37" s="1" t="str">
        <f t="shared" si="0"/>
        <v>2</v>
      </c>
      <c r="C37" s="2" t="s">
        <v>121</v>
      </c>
      <c r="D37" s="1" t="s">
        <v>14</v>
      </c>
      <c r="E37" s="1" t="s">
        <v>122</v>
      </c>
      <c r="F37" s="1" t="str">
        <f>SUBSTITUTE(Table1[[#This Row],[asset_tag]], "-", "")</f>
        <v>DDC4CY002677</v>
      </c>
      <c r="G37" s="1" t="s">
        <v>123</v>
      </c>
      <c r="H37" s="1" t="str">
        <f>IFERROR(VLOOKUP(F37, [1]BQ25_laptop_data_mod!A:C, 3, FALSE), "no MAC found")</f>
        <v>10-98-19-4A-52-59</v>
      </c>
      <c r="I37" s="1" t="s">
        <v>17</v>
      </c>
      <c r="J37" s="1" t="s">
        <v>18</v>
      </c>
      <c r="K37" s="1">
        <v>2250</v>
      </c>
      <c r="L37" s="3">
        <f>IFERROR(--_xlfn.TEXTBEFORE(Table1[[#This Row],[slot_number]],"-"),9999)</f>
        <v>2</v>
      </c>
      <c r="M37" s="3">
        <f>IFERROR(--_xlfn.TEXTAFTER(Table1[[#This Row],[slot_number]],"-"),9999)</f>
        <v>6</v>
      </c>
    </row>
    <row r="38" spans="1:101" s="3" customFormat="1" x14ac:dyDescent="0.25">
      <c r="A38" s="1">
        <v>283</v>
      </c>
      <c r="B38" s="1" t="str">
        <f t="shared" si="0"/>
        <v>2</v>
      </c>
      <c r="C38" s="2" t="s">
        <v>124</v>
      </c>
      <c r="D38" s="1" t="s">
        <v>14</v>
      </c>
      <c r="E38" s="1" t="s">
        <v>125</v>
      </c>
      <c r="F38" s="1" t="str">
        <f>SUBSTITUTE(Table1[[#This Row],[asset_tag]], "-", "")</f>
        <v>DDC4CY002529</v>
      </c>
      <c r="G38" s="1" t="s">
        <v>126</v>
      </c>
      <c r="H38" s="1" t="str">
        <f>IFERROR(VLOOKUP(F38, [1]BQ25_laptop_data_mod!A:C, 3, FALSE), "no MAC found")</f>
        <v>10-98-19-4A-51-27</v>
      </c>
      <c r="I38" s="1" t="s">
        <v>17</v>
      </c>
      <c r="J38" s="1" t="s">
        <v>18</v>
      </c>
      <c r="K38" s="1">
        <v>2250</v>
      </c>
      <c r="L38" s="3">
        <f>IFERROR(--_xlfn.TEXTBEFORE(Table1[[#This Row],[slot_number]],"-"),9999)</f>
        <v>2</v>
      </c>
      <c r="M38" s="3">
        <f>IFERROR(--_xlfn.TEXTAFTER(Table1[[#This Row],[slot_number]],"-"),9999)</f>
        <v>7</v>
      </c>
    </row>
    <row r="39" spans="1:101" s="3" customFormat="1" x14ac:dyDescent="0.25">
      <c r="A39" s="1">
        <v>283</v>
      </c>
      <c r="B39" s="1" t="str">
        <f t="shared" si="0"/>
        <v>2</v>
      </c>
      <c r="C39" s="2" t="s">
        <v>127</v>
      </c>
      <c r="D39" s="1" t="s">
        <v>14</v>
      </c>
      <c r="E39" s="1" t="s">
        <v>128</v>
      </c>
      <c r="F39" s="1" t="str">
        <f>SUBSTITUTE(Table1[[#This Row],[asset_tag]], "-", "")</f>
        <v>DDC4CY002649</v>
      </c>
      <c r="G39" s="1" t="s">
        <v>129</v>
      </c>
      <c r="H39" s="1" t="str">
        <f>IFERROR(VLOOKUP(F39, [1]BQ25_laptop_data_mod!A:C, 3, FALSE), "no MAC found")</f>
        <v>10-98-19-4A-53-07</v>
      </c>
      <c r="I39" s="1" t="s">
        <v>17</v>
      </c>
      <c r="J39" s="1" t="s">
        <v>18</v>
      </c>
      <c r="K39" s="1">
        <v>2250</v>
      </c>
      <c r="L39" s="3">
        <f>IFERROR(--_xlfn.TEXTBEFORE(Table1[[#This Row],[slot_number]],"-"),9999)</f>
        <v>2</v>
      </c>
      <c r="M39" s="3">
        <f>IFERROR(--_xlfn.TEXTAFTER(Table1[[#This Row],[slot_number]],"-"),9999)</f>
        <v>8</v>
      </c>
    </row>
    <row r="40" spans="1:101" s="3" customFormat="1" x14ac:dyDescent="0.25">
      <c r="A40" s="1">
        <v>283</v>
      </c>
      <c r="B40" s="1" t="str">
        <f t="shared" si="0"/>
        <v>2</v>
      </c>
      <c r="C40" s="2" t="s">
        <v>130</v>
      </c>
      <c r="D40" s="1" t="s">
        <v>14</v>
      </c>
      <c r="E40" s="1" t="s">
        <v>131</v>
      </c>
      <c r="F40" s="1" t="str">
        <f>SUBSTITUTE(Table1[[#This Row],[asset_tag]], "-", "")</f>
        <v>DDC4CY002734</v>
      </c>
      <c r="G40" s="1" t="s">
        <v>132</v>
      </c>
      <c r="H40" s="1" t="str">
        <f>IFERROR(VLOOKUP(F40, [1]BQ25_laptop_data_mod!A:C, 3, FALSE), "no MAC found")</f>
        <v>AC-B4-80-45-6B-5A</v>
      </c>
      <c r="I40" s="1" t="s">
        <v>17</v>
      </c>
      <c r="J40" s="1" t="s">
        <v>18</v>
      </c>
      <c r="K40" s="1">
        <v>2335</v>
      </c>
      <c r="L40" s="3">
        <f>IFERROR(--_xlfn.TEXTBEFORE(Table1[[#This Row],[slot_number]],"-"),9999)</f>
        <v>2</v>
      </c>
      <c r="M40" s="3">
        <f>IFERROR(--_xlfn.TEXTAFTER(Table1[[#This Row],[slot_number]],"-"),9999)</f>
        <v>9</v>
      </c>
    </row>
    <row r="41" spans="1:101" s="3" customFormat="1" x14ac:dyDescent="0.25">
      <c r="A41" s="1">
        <v>283</v>
      </c>
      <c r="B41" s="1" t="str">
        <f t="shared" si="0"/>
        <v>2</v>
      </c>
      <c r="C41" s="2" t="s">
        <v>133</v>
      </c>
      <c r="D41" s="1" t="s">
        <v>14</v>
      </c>
      <c r="E41" s="1" t="s">
        <v>134</v>
      </c>
      <c r="F41" s="1" t="str">
        <f>SUBSTITUTE(Table1[[#This Row],[asset_tag]], "-", "")</f>
        <v>DDC4CY002732</v>
      </c>
      <c r="G41" s="1" t="s">
        <v>135</v>
      </c>
      <c r="H41" s="1" t="str">
        <f>IFERROR(VLOOKUP(F41, [1]BQ25_laptop_data_mod!A:C, 3, FALSE), "no MAC found")</f>
        <v>AC-B4-80-45-6B-1B</v>
      </c>
      <c r="I41" s="1" t="s">
        <v>17</v>
      </c>
      <c r="J41" s="1" t="s">
        <v>18</v>
      </c>
      <c r="K41" s="1">
        <v>2335</v>
      </c>
      <c r="L41" s="3">
        <f>IFERROR(--_xlfn.TEXTBEFORE(Table1[[#This Row],[slot_number]],"-"),9999)</f>
        <v>2</v>
      </c>
      <c r="M41" s="3">
        <f>IFERROR(--_xlfn.TEXTAFTER(Table1[[#This Row],[slot_number]],"-"),9999)</f>
        <v>10</v>
      </c>
    </row>
    <row r="42" spans="1:101" s="3" customFormat="1" x14ac:dyDescent="0.25">
      <c r="A42" s="1">
        <v>283</v>
      </c>
      <c r="B42" s="1" t="str">
        <f t="shared" si="0"/>
        <v>2</v>
      </c>
      <c r="C42" s="2" t="s">
        <v>136</v>
      </c>
      <c r="D42" s="1" t="s">
        <v>14</v>
      </c>
      <c r="E42" s="1" t="s">
        <v>137</v>
      </c>
      <c r="F42" s="1" t="str">
        <f>SUBSTITUTE(Table1[[#This Row],[asset_tag]], "-", "")</f>
        <v>DDC4CY002588</v>
      </c>
      <c r="G42" s="1" t="s">
        <v>138</v>
      </c>
      <c r="H42" s="1" t="str">
        <f>IFERROR(VLOOKUP(F42, [1]BQ25_laptop_data_mod!A:C, 3, FALSE), "no MAC found")</f>
        <v>10-98-19-4A-52-CE</v>
      </c>
      <c r="I42" s="1" t="s">
        <v>17</v>
      </c>
      <c r="J42" s="1" t="s">
        <v>18</v>
      </c>
      <c r="K42" s="1">
        <v>2250</v>
      </c>
      <c r="L42" s="3">
        <f>IFERROR(--_xlfn.TEXTBEFORE(Table1[[#This Row],[slot_number]],"-"),9999)</f>
        <v>2</v>
      </c>
      <c r="M42" s="3">
        <f>IFERROR(--_xlfn.TEXTAFTER(Table1[[#This Row],[slot_number]],"-"),9999)</f>
        <v>11</v>
      </c>
    </row>
    <row r="43" spans="1:101" s="3" customFormat="1" x14ac:dyDescent="0.25">
      <c r="A43" s="1">
        <v>283</v>
      </c>
      <c r="B43" s="1" t="str">
        <f t="shared" si="0"/>
        <v>2</v>
      </c>
      <c r="C43" s="2" t="s">
        <v>139</v>
      </c>
      <c r="D43" s="1" t="s">
        <v>14</v>
      </c>
      <c r="E43" s="1" t="s">
        <v>140</v>
      </c>
      <c r="F43" s="1" t="str">
        <f>SUBSTITUTE(Table1[[#This Row],[asset_tag]], "-", "")</f>
        <v>DDC4CY002537</v>
      </c>
      <c r="G43" s="1" t="s">
        <v>141</v>
      </c>
      <c r="H43" s="1" t="str">
        <f>IFERROR(VLOOKUP(F43, [1]BQ25_laptop_data_mod!A:C, 3, FALSE), "no MAC found")</f>
        <v>10-98-19-4A-51-F2</v>
      </c>
      <c r="I43" s="1" t="s">
        <v>17</v>
      </c>
      <c r="J43" s="1" t="s">
        <v>18</v>
      </c>
      <c r="K43" s="1">
        <v>2250</v>
      </c>
      <c r="L43" s="3">
        <f>IFERROR(--_xlfn.TEXTBEFORE(Table1[[#This Row],[slot_number]],"-"),9999)</f>
        <v>2</v>
      </c>
      <c r="M43" s="3">
        <f>IFERROR(--_xlfn.TEXTAFTER(Table1[[#This Row],[slot_number]],"-"),9999)</f>
        <v>12</v>
      </c>
    </row>
    <row r="44" spans="1:101" s="3" customFormat="1" x14ac:dyDescent="0.25">
      <c r="A44" s="1">
        <v>283</v>
      </c>
      <c r="B44" s="1" t="str">
        <f t="shared" si="0"/>
        <v>2</v>
      </c>
      <c r="C44" s="2" t="s">
        <v>142</v>
      </c>
      <c r="D44" s="1" t="s">
        <v>14</v>
      </c>
      <c r="E44" s="1" t="s">
        <v>143</v>
      </c>
      <c r="F44" s="1" t="str">
        <f>SUBSTITUTE(Table1[[#This Row],[asset_tag]], "-", "")</f>
        <v>DDC4CY002519</v>
      </c>
      <c r="G44" s="1" t="s">
        <v>144</v>
      </c>
      <c r="H44" s="1" t="str">
        <f>IFERROR(VLOOKUP(F44, [1]BQ25_laptop_data_mod!A:C, 3, FALSE), "no MAC found")</f>
        <v>10-98-19-4A-51-B8</v>
      </c>
      <c r="I44" s="1" t="s">
        <v>17</v>
      </c>
      <c r="J44" s="1" t="s">
        <v>18</v>
      </c>
      <c r="K44" s="1">
        <v>2250</v>
      </c>
      <c r="L44" s="3">
        <f>IFERROR(--_xlfn.TEXTBEFORE(Table1[[#This Row],[slot_number]],"-"),9999)</f>
        <v>2</v>
      </c>
      <c r="M44" s="3">
        <f>IFERROR(--_xlfn.TEXTAFTER(Table1[[#This Row],[slot_number]],"-"),9999)</f>
        <v>13</v>
      </c>
    </row>
    <row r="45" spans="1:101" s="3" customFormat="1" x14ac:dyDescent="0.25">
      <c r="A45" s="1">
        <v>283</v>
      </c>
      <c r="B45" s="1" t="str">
        <f t="shared" si="0"/>
        <v>2</v>
      </c>
      <c r="C45" s="2" t="s">
        <v>145</v>
      </c>
      <c r="D45" s="1" t="s">
        <v>14</v>
      </c>
      <c r="E45" s="1" t="s">
        <v>146</v>
      </c>
      <c r="F45" s="1" t="str">
        <f>SUBSTITUTE(Table1[[#This Row],[asset_tag]], "-", "")</f>
        <v>DDC4CY002511</v>
      </c>
      <c r="G45" s="1" t="s">
        <v>147</v>
      </c>
      <c r="H45" s="1" t="str">
        <f>IFERROR(VLOOKUP(F45, [1]BQ25_laptop_data_mod!A:C, 3, FALSE), "no MAC found")</f>
        <v>10-98-19-4A-52-50</v>
      </c>
      <c r="I45" s="1" t="s">
        <v>17</v>
      </c>
      <c r="J45" s="1" t="s">
        <v>18</v>
      </c>
      <c r="K45" s="1">
        <v>2250</v>
      </c>
      <c r="L45" s="3">
        <f>IFERROR(--_xlfn.TEXTBEFORE(Table1[[#This Row],[slot_number]],"-"),9999)</f>
        <v>2</v>
      </c>
      <c r="M45" s="3">
        <f>IFERROR(--_xlfn.TEXTAFTER(Table1[[#This Row],[slot_number]],"-"),9999)</f>
        <v>14</v>
      </c>
    </row>
    <row r="46" spans="1:101" s="3" customFormat="1" x14ac:dyDescent="0.25">
      <c r="A46" s="1">
        <v>283</v>
      </c>
      <c r="B46" s="1" t="str">
        <f t="shared" si="0"/>
        <v>2</v>
      </c>
      <c r="C46" s="2" t="s">
        <v>148</v>
      </c>
      <c r="D46" s="1" t="s">
        <v>14</v>
      </c>
      <c r="E46" s="1" t="s">
        <v>149</v>
      </c>
      <c r="F46" s="1" t="str">
        <f>SUBSTITUTE(Table1[[#This Row],[asset_tag]], "-", "")</f>
        <v>DDC4CY002755</v>
      </c>
      <c r="G46" s="1" t="s">
        <v>150</v>
      </c>
      <c r="H46" s="1" t="str">
        <f>IFERROR(VLOOKUP(F46, [1]BQ25_laptop_data_mod!A:C, 3, FALSE), "no MAC found")</f>
        <v>AC-B4-80-45-6B-49</v>
      </c>
      <c r="I46" s="1" t="s">
        <v>17</v>
      </c>
      <c r="J46" s="1" t="s">
        <v>18</v>
      </c>
      <c r="K46" s="1">
        <v>2335</v>
      </c>
      <c r="L46" s="3">
        <f>IFERROR(--_xlfn.TEXTBEFORE(Table1[[#This Row],[slot_number]],"-"),9999)</f>
        <v>2</v>
      </c>
      <c r="M46" s="3">
        <f>IFERROR(--_xlfn.TEXTAFTER(Table1[[#This Row],[slot_number]],"-"),9999)</f>
        <v>15</v>
      </c>
    </row>
    <row r="47" spans="1:101" s="3" customFormat="1" x14ac:dyDescent="0.25">
      <c r="A47" s="1">
        <v>283</v>
      </c>
      <c r="B47" s="1" t="str">
        <f t="shared" si="0"/>
        <v>2</v>
      </c>
      <c r="C47" s="2" t="s">
        <v>151</v>
      </c>
      <c r="D47" s="1" t="s">
        <v>14</v>
      </c>
      <c r="E47" s="1" t="s">
        <v>152</v>
      </c>
      <c r="F47" s="1" t="str">
        <f>SUBSTITUTE(Table1[[#This Row],[asset_tag]], "-", "")</f>
        <v>DDC4CY002579</v>
      </c>
      <c r="G47" s="1" t="s">
        <v>153</v>
      </c>
      <c r="H47" s="1" t="str">
        <f>IFERROR(VLOOKUP(F47, [1]BQ25_laptop_data_mod!A:C, 3, FALSE), "no MAC found")</f>
        <v>10-98-19-4A-51-13</v>
      </c>
      <c r="I47" s="1" t="s">
        <v>17</v>
      </c>
      <c r="J47" s="1" t="s">
        <v>18</v>
      </c>
      <c r="K47" s="1">
        <v>2250</v>
      </c>
      <c r="L47" s="3">
        <f>IFERROR(--_xlfn.TEXTBEFORE(Table1[[#This Row],[slot_number]],"-"),9999)</f>
        <v>2</v>
      </c>
      <c r="M47" s="3">
        <f>IFERROR(--_xlfn.TEXTAFTER(Table1[[#This Row],[slot_number]],"-"),9999)</f>
        <v>16</v>
      </c>
    </row>
    <row r="48" spans="1:101" s="3" customFormat="1" x14ac:dyDescent="0.25">
      <c r="A48" s="1">
        <v>283</v>
      </c>
      <c r="B48" s="1" t="str">
        <f t="shared" si="0"/>
        <v>2</v>
      </c>
      <c r="C48" s="2" t="s">
        <v>154</v>
      </c>
      <c r="D48" s="1" t="s">
        <v>14</v>
      </c>
      <c r="E48" s="1" t="s">
        <v>155</v>
      </c>
      <c r="F48" s="1" t="str">
        <f>SUBSTITUTE(Table1[[#This Row],[asset_tag]], "-", "")</f>
        <v>DDC4CY002754</v>
      </c>
      <c r="G48" s="1" t="s">
        <v>156</v>
      </c>
      <c r="H48" s="1" t="str">
        <f>IFERROR(VLOOKUP(F48, [1]BQ25_laptop_data_mod!A:C, 3, FALSE), "no MAC found")</f>
        <v>AC-B4-80-45-6C-55</v>
      </c>
      <c r="I48" s="1" t="s">
        <v>17</v>
      </c>
      <c r="J48" s="1" t="s">
        <v>18</v>
      </c>
      <c r="K48" s="1">
        <v>2335</v>
      </c>
      <c r="L48" s="3">
        <f>IFERROR(--_xlfn.TEXTBEFORE(Table1[[#This Row],[slot_number]],"-"),9999)</f>
        <v>2</v>
      </c>
      <c r="M48" s="3">
        <f>IFERROR(--_xlfn.TEXTAFTER(Table1[[#This Row],[slot_number]],"-"),9999)</f>
        <v>17</v>
      </c>
    </row>
    <row r="49" spans="1:101" s="3" customFormat="1" x14ac:dyDescent="0.25">
      <c r="A49" s="1">
        <v>283</v>
      </c>
      <c r="B49" s="1" t="str">
        <f t="shared" si="0"/>
        <v>2</v>
      </c>
      <c r="C49" s="2" t="s">
        <v>157</v>
      </c>
      <c r="D49" s="1" t="s">
        <v>14</v>
      </c>
      <c r="E49" s="1" t="s">
        <v>158</v>
      </c>
      <c r="F49" s="1" t="str">
        <f>SUBSTITUTE(Table1[[#This Row],[asset_tag]], "-", "")</f>
        <v>DDC4CY002757</v>
      </c>
      <c r="G49" s="1" t="s">
        <v>159</v>
      </c>
      <c r="H49" s="1" t="str">
        <f>IFERROR(VLOOKUP(F49, [1]BQ25_laptop_data_mod!A:C, 3, FALSE), "no MAC found")</f>
        <v>AC-B4-80-45-6B-47</v>
      </c>
      <c r="I49" s="1" t="s">
        <v>17</v>
      </c>
      <c r="J49" s="1" t="s">
        <v>18</v>
      </c>
      <c r="K49" s="1">
        <v>2335</v>
      </c>
      <c r="L49" s="3">
        <f>IFERROR(--_xlfn.TEXTBEFORE(Table1[[#This Row],[slot_number]],"-"),9999)</f>
        <v>2</v>
      </c>
      <c r="M49" s="3">
        <f>IFERROR(--_xlfn.TEXTAFTER(Table1[[#This Row],[slot_number]],"-"),9999)</f>
        <v>18</v>
      </c>
    </row>
    <row r="50" spans="1:101" s="3" customFormat="1" x14ac:dyDescent="0.25">
      <c r="A50" s="1">
        <v>283</v>
      </c>
      <c r="B50" s="1" t="str">
        <f t="shared" si="0"/>
        <v>2</v>
      </c>
      <c r="C50" s="2" t="s">
        <v>160</v>
      </c>
      <c r="D50" s="1" t="s">
        <v>14</v>
      </c>
      <c r="E50" s="1" t="s">
        <v>161</v>
      </c>
      <c r="F50" s="1" t="str">
        <f>SUBSTITUTE(Table1[[#This Row],[asset_tag]], "-", "")</f>
        <v>DDC4CY002608</v>
      </c>
      <c r="G50" s="1" t="s">
        <v>162</v>
      </c>
      <c r="H50" s="1" t="str">
        <f>IFERROR(VLOOKUP(F50, [1]BQ25_laptop_data_mod!A:C, 3, FALSE), "no MAC found")</f>
        <v>10-98-19-4A-51-08</v>
      </c>
      <c r="I50" s="1" t="s">
        <v>17</v>
      </c>
      <c r="J50" s="1" t="s">
        <v>18</v>
      </c>
      <c r="K50" s="1">
        <v>2250</v>
      </c>
      <c r="L50" s="3">
        <f>IFERROR(--_xlfn.TEXTBEFORE(Table1[[#This Row],[slot_number]],"-"),9999)</f>
        <v>2</v>
      </c>
      <c r="M50" s="3">
        <f>IFERROR(--_xlfn.TEXTAFTER(Table1[[#This Row],[slot_number]],"-"),9999)</f>
        <v>19</v>
      </c>
    </row>
    <row r="51" spans="1:101" s="3" customFormat="1" x14ac:dyDescent="0.25">
      <c r="A51" s="1">
        <v>283</v>
      </c>
      <c r="B51" s="1" t="str">
        <f t="shared" si="0"/>
        <v>2</v>
      </c>
      <c r="C51" s="2" t="s">
        <v>163</v>
      </c>
      <c r="D51" s="1" t="s">
        <v>14</v>
      </c>
      <c r="E51" s="1" t="s">
        <v>164</v>
      </c>
      <c r="F51" s="1" t="str">
        <f>SUBSTITUTE(Table1[[#This Row],[asset_tag]], "-", "")</f>
        <v>DDC4CY002611</v>
      </c>
      <c r="G51" s="1" t="s">
        <v>165</v>
      </c>
      <c r="H51" s="1" t="str">
        <f>IFERROR(VLOOKUP(F51, [1]BQ25_laptop_data_mod!A:C, 3, FALSE), "no MAC found")</f>
        <v>10-98-19-4A-51-41</v>
      </c>
      <c r="I51" s="1" t="s">
        <v>17</v>
      </c>
      <c r="J51" s="1" t="s">
        <v>18</v>
      </c>
      <c r="K51" s="1">
        <v>2250</v>
      </c>
      <c r="L51" s="3">
        <f>IFERROR(--_xlfn.TEXTBEFORE(Table1[[#This Row],[slot_number]],"-"),9999)</f>
        <v>2</v>
      </c>
      <c r="M51" s="3">
        <f>IFERROR(--_xlfn.TEXTAFTER(Table1[[#This Row],[slot_number]],"-"),9999)</f>
        <v>20</v>
      </c>
    </row>
    <row r="52" spans="1:101" s="3" customFormat="1" x14ac:dyDescent="0.25">
      <c r="A52" s="1">
        <v>283</v>
      </c>
      <c r="B52" s="1" t="str">
        <f t="shared" si="0"/>
        <v>2</v>
      </c>
      <c r="C52" s="2" t="s">
        <v>166</v>
      </c>
      <c r="D52" s="1" t="s">
        <v>14</v>
      </c>
      <c r="E52" s="1" t="s">
        <v>167</v>
      </c>
      <c r="F52" s="1" t="str">
        <f>SUBSTITUTE(Table1[[#This Row],[asset_tag]], "-", "")</f>
        <v>DDC4CY002763</v>
      </c>
      <c r="G52" s="1" t="s">
        <v>168</v>
      </c>
      <c r="H52" s="1" t="str">
        <f>IFERROR(VLOOKUP(F52, [1]BQ25_laptop_data_mod!A:C, 3, FALSE), "no MAC found")</f>
        <v>AC-B4-80-45-6B-9D</v>
      </c>
      <c r="I52" s="1" t="s">
        <v>17</v>
      </c>
      <c r="J52" s="1" t="s">
        <v>18</v>
      </c>
      <c r="K52" s="1">
        <v>2335</v>
      </c>
      <c r="L52" s="3">
        <f>IFERROR(--_xlfn.TEXTBEFORE(Table1[[#This Row],[slot_number]],"-"),9999)</f>
        <v>2</v>
      </c>
      <c r="M52" s="3">
        <f>IFERROR(--_xlfn.TEXTAFTER(Table1[[#This Row],[slot_number]],"-"),9999)</f>
        <v>21</v>
      </c>
      <c r="CV52" s="5"/>
      <c r="CW52" s="5"/>
    </row>
    <row r="53" spans="1:101" s="3" customFormat="1" x14ac:dyDescent="0.25">
      <c r="A53" s="1">
        <v>283</v>
      </c>
      <c r="B53" s="1" t="str">
        <f t="shared" si="0"/>
        <v>2</v>
      </c>
      <c r="C53" s="2" t="s">
        <v>169</v>
      </c>
      <c r="D53" s="1" t="s">
        <v>14</v>
      </c>
      <c r="E53" s="1" t="s">
        <v>170</v>
      </c>
      <c r="F53" s="1" t="str">
        <f>SUBSTITUTE(Table1[[#This Row],[asset_tag]], "-", "")</f>
        <v>DDC4CY002627</v>
      </c>
      <c r="G53" s="1" t="s">
        <v>171</v>
      </c>
      <c r="H53" s="1" t="str">
        <f>IFERROR(VLOOKUP(F53, [1]BQ25_laptop_data_mod!A:C, 3, FALSE), "no MAC found")</f>
        <v>10-98-19-4A-52-72</v>
      </c>
      <c r="I53" s="1" t="s">
        <v>17</v>
      </c>
      <c r="J53" s="1" t="s">
        <v>18</v>
      </c>
      <c r="K53" s="1">
        <v>2250</v>
      </c>
      <c r="L53" s="3">
        <f>IFERROR(--_xlfn.TEXTBEFORE(Table1[[#This Row],[slot_number]],"-"),9999)</f>
        <v>2</v>
      </c>
      <c r="M53" s="3">
        <f>IFERROR(--_xlfn.TEXTAFTER(Table1[[#This Row],[slot_number]],"-"),9999)</f>
        <v>22</v>
      </c>
    </row>
    <row r="54" spans="1:101" s="3" customFormat="1" x14ac:dyDescent="0.25">
      <c r="A54" s="1">
        <v>283</v>
      </c>
      <c r="B54" s="1" t="str">
        <f t="shared" si="0"/>
        <v>2</v>
      </c>
      <c r="C54" s="2" t="s">
        <v>172</v>
      </c>
      <c r="D54" s="1" t="s">
        <v>14</v>
      </c>
      <c r="E54" s="1" t="s">
        <v>173</v>
      </c>
      <c r="F54" s="1" t="str">
        <f>SUBSTITUTE(Table1[[#This Row],[asset_tag]], "-", "")</f>
        <v>DDC4CY002557</v>
      </c>
      <c r="G54" s="1" t="s">
        <v>174</v>
      </c>
      <c r="H54" s="1" t="str">
        <f>IFERROR(VLOOKUP(F54, [1]BQ25_laptop_data_mod!A:C, 3, FALSE), "no MAC found")</f>
        <v>10-98-19-4A-52-D2</v>
      </c>
      <c r="I54" s="1" t="s">
        <v>17</v>
      </c>
      <c r="J54" s="1" t="s">
        <v>18</v>
      </c>
      <c r="K54" s="1">
        <v>2250</v>
      </c>
      <c r="L54" s="3">
        <f>IFERROR(--_xlfn.TEXTBEFORE(Table1[[#This Row],[slot_number]],"-"),9999)</f>
        <v>2</v>
      </c>
      <c r="M54" s="3">
        <f>IFERROR(--_xlfn.TEXTAFTER(Table1[[#This Row],[slot_number]],"-"),9999)</f>
        <v>23</v>
      </c>
    </row>
    <row r="55" spans="1:101" s="3" customFormat="1" x14ac:dyDescent="0.25">
      <c r="A55" s="1">
        <v>283</v>
      </c>
      <c r="B55" s="1" t="str">
        <f t="shared" si="0"/>
        <v>2</v>
      </c>
      <c r="C55" s="2" t="s">
        <v>175</v>
      </c>
      <c r="D55" s="1" t="s">
        <v>14</v>
      </c>
      <c r="E55" s="1" t="s">
        <v>176</v>
      </c>
      <c r="F55" s="1" t="str">
        <f>SUBSTITUTE(Table1[[#This Row],[asset_tag]], "-", "")</f>
        <v>DDC4CY002631</v>
      </c>
      <c r="G55" s="1" t="s">
        <v>177</v>
      </c>
      <c r="H55" s="1" t="str">
        <f>IFERROR(VLOOKUP(F55, [1]BQ25_laptop_data_mod!A:C, 3, FALSE), "no MAC found")</f>
        <v>10-98-19-4A-52-7A</v>
      </c>
      <c r="I55" s="1" t="s">
        <v>17</v>
      </c>
      <c r="J55" s="1" t="s">
        <v>18</v>
      </c>
      <c r="K55" s="1">
        <v>2250</v>
      </c>
      <c r="L55" s="3">
        <f>IFERROR(--_xlfn.TEXTBEFORE(Table1[[#This Row],[slot_number]],"-"),9999)</f>
        <v>2</v>
      </c>
      <c r="M55" s="3">
        <f>IFERROR(--_xlfn.TEXTAFTER(Table1[[#This Row],[slot_number]],"-"),9999)</f>
        <v>24</v>
      </c>
    </row>
    <row r="56" spans="1:101" s="3" customFormat="1" x14ac:dyDescent="0.25">
      <c r="A56" s="1">
        <v>283</v>
      </c>
      <c r="B56" s="1" t="str">
        <f t="shared" si="0"/>
        <v>2</v>
      </c>
      <c r="C56" s="2" t="s">
        <v>178</v>
      </c>
      <c r="D56" s="1" t="s">
        <v>14</v>
      </c>
      <c r="E56" s="1" t="s">
        <v>179</v>
      </c>
      <c r="F56" s="1" t="str">
        <f>SUBSTITUTE(Table1[[#This Row],[asset_tag]], "-", "")</f>
        <v>DDC4CY002613</v>
      </c>
      <c r="G56" s="1" t="s">
        <v>180</v>
      </c>
      <c r="H56" s="1" t="str">
        <f>IFERROR(VLOOKUP(F56, [1]BQ25_laptop_data_mod!A:C, 3, FALSE), "no MAC found")</f>
        <v>10-98-19-4A-52-42</v>
      </c>
      <c r="I56" s="1" t="s">
        <v>17</v>
      </c>
      <c r="J56" s="1" t="s">
        <v>18</v>
      </c>
      <c r="K56" s="1">
        <v>2250</v>
      </c>
      <c r="L56" s="3">
        <f>IFERROR(--_xlfn.TEXTBEFORE(Table1[[#This Row],[slot_number]],"-"),9999)</f>
        <v>2</v>
      </c>
      <c r="M56" s="3">
        <f>IFERROR(--_xlfn.TEXTAFTER(Table1[[#This Row],[slot_number]],"-"),9999)</f>
        <v>25</v>
      </c>
    </row>
    <row r="57" spans="1:101" s="3" customFormat="1" x14ac:dyDescent="0.25">
      <c r="A57" s="1">
        <v>283</v>
      </c>
      <c r="B57" s="1" t="str">
        <f t="shared" si="0"/>
        <v>2</v>
      </c>
      <c r="C57" s="2" t="s">
        <v>181</v>
      </c>
      <c r="D57" s="1" t="s">
        <v>14</v>
      </c>
      <c r="E57" s="1" t="s">
        <v>182</v>
      </c>
      <c r="F57" s="1" t="str">
        <f>SUBSTITUTE(Table1[[#This Row],[asset_tag]], "-", "")</f>
        <v>DDC4CY002623</v>
      </c>
      <c r="G57" s="1" t="s">
        <v>183</v>
      </c>
      <c r="H57" s="1" t="str">
        <f>IFERROR(VLOOKUP(F57, [1]BQ25_laptop_data_mod!A:C, 3, FALSE), "no MAC found")</f>
        <v>10-98-19-4A-66-4D</v>
      </c>
      <c r="I57" s="1" t="s">
        <v>17</v>
      </c>
      <c r="J57" s="1" t="s">
        <v>18</v>
      </c>
      <c r="K57" s="1">
        <v>2250</v>
      </c>
      <c r="L57" s="3">
        <f>IFERROR(--_xlfn.TEXTBEFORE(Table1[[#This Row],[slot_number]],"-"),9999)</f>
        <v>2</v>
      </c>
      <c r="M57" s="3">
        <f>IFERROR(--_xlfn.TEXTAFTER(Table1[[#This Row],[slot_number]],"-"),9999)</f>
        <v>26</v>
      </c>
    </row>
    <row r="58" spans="1:101" s="3" customFormat="1" x14ac:dyDescent="0.25">
      <c r="A58" s="1">
        <v>283</v>
      </c>
      <c r="B58" s="1" t="str">
        <f t="shared" si="0"/>
        <v>2</v>
      </c>
      <c r="C58" s="2" t="s">
        <v>184</v>
      </c>
      <c r="D58" s="1" t="s">
        <v>14</v>
      </c>
      <c r="E58" s="1" t="s">
        <v>185</v>
      </c>
      <c r="F58" s="1" t="str">
        <f>SUBSTITUTE(Table1[[#This Row],[asset_tag]], "-", "")</f>
        <v>DDC4CY002684</v>
      </c>
      <c r="G58" s="1" t="s">
        <v>186</v>
      </c>
      <c r="H58" s="1" t="str">
        <f>IFERROR(VLOOKUP(F58, [1]BQ25_laptop_data_mod!A:C, 3, FALSE), "no MAC found")</f>
        <v>10-98-19-4A-51-F3</v>
      </c>
      <c r="I58" s="1" t="s">
        <v>17</v>
      </c>
      <c r="J58" s="1" t="s">
        <v>18</v>
      </c>
      <c r="K58" s="1">
        <v>2250</v>
      </c>
      <c r="L58" s="3">
        <f>IFERROR(--_xlfn.TEXTBEFORE(Table1[[#This Row],[slot_number]],"-"),9999)</f>
        <v>2</v>
      </c>
      <c r="M58" s="3">
        <f>IFERROR(--_xlfn.TEXTAFTER(Table1[[#This Row],[slot_number]],"-"),9999)</f>
        <v>27</v>
      </c>
      <c r="CV58" s="5"/>
      <c r="CW58" s="5"/>
    </row>
    <row r="59" spans="1:101" s="3" customFormat="1" x14ac:dyDescent="0.25">
      <c r="A59" s="1">
        <v>283</v>
      </c>
      <c r="B59" s="1" t="str">
        <f t="shared" si="0"/>
        <v>2</v>
      </c>
      <c r="C59" s="2" t="s">
        <v>187</v>
      </c>
      <c r="D59" s="1" t="s">
        <v>14</v>
      </c>
      <c r="E59" s="1" t="s">
        <v>188</v>
      </c>
      <c r="F59" s="1" t="str">
        <f>SUBSTITUTE(Table1[[#This Row],[asset_tag]], "-", "")</f>
        <v>DDC4CY002644</v>
      </c>
      <c r="G59" s="1" t="s">
        <v>189</v>
      </c>
      <c r="H59" s="1" t="str">
        <f>IFERROR(VLOOKUP(F59, [1]BQ25_laptop_data_mod!A:C, 3, FALSE), "no MAC found")</f>
        <v>10-98-19-4A-52-22</v>
      </c>
      <c r="I59" s="1" t="s">
        <v>17</v>
      </c>
      <c r="J59" s="1" t="s">
        <v>18</v>
      </c>
      <c r="K59" s="1">
        <v>2250</v>
      </c>
      <c r="L59" s="3">
        <f>IFERROR(--_xlfn.TEXTBEFORE(Table1[[#This Row],[slot_number]],"-"),9999)</f>
        <v>2</v>
      </c>
      <c r="M59" s="3">
        <f>IFERROR(--_xlfn.TEXTAFTER(Table1[[#This Row],[slot_number]],"-"),9999)</f>
        <v>28</v>
      </c>
      <c r="CV59" s="7"/>
      <c r="CW59" s="7"/>
    </row>
    <row r="60" spans="1:101" s="3" customFormat="1" x14ac:dyDescent="0.25">
      <c r="A60" s="1">
        <v>283</v>
      </c>
      <c r="B60" s="1" t="str">
        <f t="shared" si="0"/>
        <v>2</v>
      </c>
      <c r="C60" s="2" t="s">
        <v>190</v>
      </c>
      <c r="D60" s="1" t="s">
        <v>14</v>
      </c>
      <c r="E60" s="1" t="s">
        <v>191</v>
      </c>
      <c r="F60" s="1" t="str">
        <f>SUBSTITUTE(Table1[[#This Row],[asset_tag]], "-", "")</f>
        <v>DDC4CY002539</v>
      </c>
      <c r="G60" s="1" t="s">
        <v>192</v>
      </c>
      <c r="H60" s="1" t="str">
        <f>IFERROR(VLOOKUP(F60, [1]BQ25_laptop_data_mod!A:C, 3, FALSE), "no MAC found")</f>
        <v>10-98-19-4A-51-F7</v>
      </c>
      <c r="I60" s="1" t="s">
        <v>17</v>
      </c>
      <c r="J60" s="1" t="s">
        <v>18</v>
      </c>
      <c r="K60" s="1">
        <v>2250</v>
      </c>
      <c r="L60" s="3">
        <f>IFERROR(--_xlfn.TEXTBEFORE(Table1[[#This Row],[slot_number]],"-"),9999)</f>
        <v>2</v>
      </c>
      <c r="M60" s="3">
        <f>IFERROR(--_xlfn.TEXTAFTER(Table1[[#This Row],[slot_number]],"-"),9999)</f>
        <v>29</v>
      </c>
      <c r="CV60" s="5"/>
      <c r="CW60" s="5"/>
    </row>
    <row r="61" spans="1:101" s="3" customFormat="1" x14ac:dyDescent="0.25">
      <c r="A61" s="1">
        <v>283</v>
      </c>
      <c r="B61" s="1" t="str">
        <f t="shared" si="0"/>
        <v>2</v>
      </c>
      <c r="C61" s="2" t="s">
        <v>193</v>
      </c>
      <c r="D61" s="1" t="s">
        <v>14</v>
      </c>
      <c r="E61" s="1" t="s">
        <v>194</v>
      </c>
      <c r="F61" s="1" t="str">
        <f>SUBSTITUTE(Table1[[#This Row],[asset_tag]], "-", "")</f>
        <v>DDC4CY002538</v>
      </c>
      <c r="G61" s="1" t="s">
        <v>195</v>
      </c>
      <c r="H61" s="1" t="str">
        <f>IFERROR(VLOOKUP(F61, [1]BQ25_laptop_data_mod!A:C, 3, FALSE), "no MAC found")</f>
        <v>10-98-19-4A-51-8A</v>
      </c>
      <c r="I61" s="1" t="s">
        <v>17</v>
      </c>
      <c r="J61" s="1" t="s">
        <v>18</v>
      </c>
      <c r="K61" s="1">
        <v>2250</v>
      </c>
      <c r="L61" s="3">
        <f>IFERROR(--_xlfn.TEXTBEFORE(Table1[[#This Row],[slot_number]],"-"),9999)</f>
        <v>2</v>
      </c>
      <c r="M61" s="3">
        <f>IFERROR(--_xlfn.TEXTAFTER(Table1[[#This Row],[slot_number]],"-"),9999)</f>
        <v>30</v>
      </c>
    </row>
    <row r="62" spans="1:101" s="3" customFormat="1" x14ac:dyDescent="0.25">
      <c r="A62" s="1">
        <v>283</v>
      </c>
      <c r="B62" s="1" t="str">
        <f t="shared" si="0"/>
        <v>3</v>
      </c>
      <c r="C62" s="2" t="s">
        <v>196</v>
      </c>
      <c r="D62" s="1" t="s">
        <v>14</v>
      </c>
      <c r="E62" s="1" t="s">
        <v>197</v>
      </c>
      <c r="F62" s="1" t="str">
        <f>SUBSTITUTE(Table1[[#This Row],[asset_tag]], "-", "")</f>
        <v>DDC4CY002548</v>
      </c>
      <c r="G62" s="1" t="s">
        <v>198</v>
      </c>
      <c r="H62" s="1" t="str">
        <f>IFERROR(VLOOKUP(F62, [1]BQ25_laptop_data_mod!A:C, 3, FALSE), "no MAC found")</f>
        <v>10-98-19-4A-51-FB</v>
      </c>
      <c r="I62" s="1" t="s">
        <v>17</v>
      </c>
      <c r="J62" s="1" t="s">
        <v>18</v>
      </c>
      <c r="K62" s="1">
        <v>2250</v>
      </c>
      <c r="L62" s="3">
        <f>IFERROR(--_xlfn.TEXTBEFORE(Table1[[#This Row],[slot_number]],"-"),9999)</f>
        <v>3</v>
      </c>
      <c r="M62" s="3">
        <f>IFERROR(--_xlfn.TEXTAFTER(Table1[[#This Row],[slot_number]],"-"),9999)</f>
        <v>1</v>
      </c>
    </row>
    <row r="63" spans="1:101" s="3" customFormat="1" x14ac:dyDescent="0.25">
      <c r="A63" s="1">
        <v>283</v>
      </c>
      <c r="B63" s="1" t="str">
        <f t="shared" si="0"/>
        <v>3</v>
      </c>
      <c r="C63" s="2" t="s">
        <v>199</v>
      </c>
      <c r="D63" s="1" t="s">
        <v>14</v>
      </c>
      <c r="E63" s="1" t="s">
        <v>200</v>
      </c>
      <c r="F63" s="1" t="str">
        <f>SUBSTITUTE(Table1[[#This Row],[asset_tag]], "-", "")</f>
        <v>DDC4CY002653</v>
      </c>
      <c r="G63" s="1" t="s">
        <v>201</v>
      </c>
      <c r="H63" s="1" t="str">
        <f>IFERROR(VLOOKUP(F63, [1]BQ25_laptop_data_mod!A:C, 3, FALSE), "no MAC found")</f>
        <v>10-98-19-4A-52-B9</v>
      </c>
      <c r="I63" s="1" t="s">
        <v>17</v>
      </c>
      <c r="J63" s="1" t="s">
        <v>18</v>
      </c>
      <c r="K63" s="1">
        <v>2250</v>
      </c>
      <c r="L63" s="3">
        <f>IFERROR(--_xlfn.TEXTBEFORE(Table1[[#This Row],[slot_number]],"-"),9999)</f>
        <v>3</v>
      </c>
      <c r="M63" s="3">
        <f>IFERROR(--_xlfn.TEXTAFTER(Table1[[#This Row],[slot_number]],"-"),9999)</f>
        <v>2</v>
      </c>
      <c r="CV63" s="7"/>
      <c r="CW63" s="7"/>
    </row>
    <row r="64" spans="1:101" s="3" customFormat="1" x14ac:dyDescent="0.25">
      <c r="A64" s="1">
        <v>283</v>
      </c>
      <c r="B64" s="1" t="str">
        <f t="shared" si="0"/>
        <v>3</v>
      </c>
      <c r="C64" s="2" t="s">
        <v>202</v>
      </c>
      <c r="D64" s="1" t="s">
        <v>14</v>
      </c>
      <c r="E64" s="1" t="s">
        <v>203</v>
      </c>
      <c r="F64" s="1" t="str">
        <f>SUBSTITUTE(Table1[[#This Row],[asset_tag]], "-", "")</f>
        <v>DDC4CY002620</v>
      </c>
      <c r="G64" s="1" t="s">
        <v>204</v>
      </c>
      <c r="H64" s="1" t="str">
        <f>IFERROR(VLOOKUP(F64, [1]BQ25_laptop_data_mod!A:C, 3, FALSE), "no MAC found")</f>
        <v>10-98-19-4A-52-9A</v>
      </c>
      <c r="I64" s="1" t="s">
        <v>17</v>
      </c>
      <c r="J64" s="1" t="s">
        <v>18</v>
      </c>
      <c r="K64" s="1">
        <v>2250</v>
      </c>
      <c r="L64" s="3">
        <f>IFERROR(--_xlfn.TEXTBEFORE(Table1[[#This Row],[slot_number]],"-"),9999)</f>
        <v>3</v>
      </c>
      <c r="M64" s="3">
        <f>IFERROR(--_xlfn.TEXTAFTER(Table1[[#This Row],[slot_number]],"-"),9999)</f>
        <v>3</v>
      </c>
    </row>
    <row r="65" spans="1:101" s="3" customFormat="1" x14ac:dyDescent="0.25">
      <c r="A65" s="1">
        <v>283</v>
      </c>
      <c r="B65" s="1" t="str">
        <f t="shared" si="0"/>
        <v>3</v>
      </c>
      <c r="C65" s="2" t="s">
        <v>205</v>
      </c>
      <c r="D65" s="1" t="s">
        <v>14</v>
      </c>
      <c r="E65" s="1" t="s">
        <v>206</v>
      </c>
      <c r="F65" s="1" t="str">
        <f>SUBSTITUTE(Table1[[#This Row],[asset_tag]], "-", "")</f>
        <v>DDC4CY002648</v>
      </c>
      <c r="G65" s="1" t="s">
        <v>207</v>
      </c>
      <c r="H65" s="1" t="str">
        <f>IFERROR(VLOOKUP(F65, [1]BQ25_laptop_data_mod!A:C, 3, FALSE), "no MAC found")</f>
        <v>10-98-19-4A-66-70</v>
      </c>
      <c r="I65" s="1" t="s">
        <v>17</v>
      </c>
      <c r="J65" s="1" t="s">
        <v>18</v>
      </c>
      <c r="K65" s="1">
        <v>2250</v>
      </c>
      <c r="L65" s="3">
        <f>IFERROR(--_xlfn.TEXTBEFORE(Table1[[#This Row],[slot_number]],"-"),9999)</f>
        <v>3</v>
      </c>
      <c r="M65" s="3">
        <f>IFERROR(--_xlfn.TEXTAFTER(Table1[[#This Row],[slot_number]],"-"),9999)</f>
        <v>4</v>
      </c>
    </row>
    <row r="66" spans="1:101" s="3" customFormat="1" x14ac:dyDescent="0.25">
      <c r="A66" s="1">
        <v>283</v>
      </c>
      <c r="B66" s="1" t="str">
        <f t="shared" ref="B66:B129" si="1">IFERROR(_xlfn.TEXTBEFORE(C66, "-"), "")</f>
        <v>3</v>
      </c>
      <c r="C66" s="2" t="s">
        <v>208</v>
      </c>
      <c r="D66" s="1" t="s">
        <v>14</v>
      </c>
      <c r="E66" s="1" t="s">
        <v>209</v>
      </c>
      <c r="F66" s="1" t="str">
        <f>SUBSTITUTE(Table1[[#This Row],[asset_tag]], "-", "")</f>
        <v>DDC4CY002525</v>
      </c>
      <c r="G66" s="1" t="s">
        <v>210</v>
      </c>
      <c r="H66" s="1" t="str">
        <f>IFERROR(VLOOKUP(F66, [1]BQ25_laptop_data_mod!A:C, 3, FALSE), "no MAC found")</f>
        <v>10-98-19-4A-51-1C</v>
      </c>
      <c r="I66" s="1" t="s">
        <v>17</v>
      </c>
      <c r="J66" s="1" t="s">
        <v>18</v>
      </c>
      <c r="K66" s="1">
        <v>2250</v>
      </c>
      <c r="L66" s="3">
        <f>IFERROR(--_xlfn.TEXTBEFORE(Table1[[#This Row],[slot_number]],"-"),9999)</f>
        <v>3</v>
      </c>
      <c r="M66" s="3">
        <f>IFERROR(--_xlfn.TEXTAFTER(Table1[[#This Row],[slot_number]],"-"),9999)</f>
        <v>5</v>
      </c>
    </row>
    <row r="67" spans="1:101" s="3" customFormat="1" x14ac:dyDescent="0.25">
      <c r="A67" s="1">
        <v>283</v>
      </c>
      <c r="B67" s="1" t="str">
        <f t="shared" si="1"/>
        <v>3</v>
      </c>
      <c r="C67" s="2" t="s">
        <v>211</v>
      </c>
      <c r="D67" s="1" t="s">
        <v>14</v>
      </c>
      <c r="E67" s="1" t="s">
        <v>212</v>
      </c>
      <c r="F67" s="1" t="str">
        <f>SUBSTITUTE(Table1[[#This Row],[asset_tag]], "-", "")</f>
        <v>DDC4CY002521</v>
      </c>
      <c r="G67" s="1" t="s">
        <v>213</v>
      </c>
      <c r="H67" s="1" t="str">
        <f>IFERROR(VLOOKUP(F67, [1]BQ25_laptop_data_mod!A:C, 3, FALSE), "no MAC found")</f>
        <v>10-98-19-4A-65-81</v>
      </c>
      <c r="I67" s="1" t="s">
        <v>17</v>
      </c>
      <c r="J67" s="1" t="s">
        <v>18</v>
      </c>
      <c r="K67" s="1">
        <v>2250</v>
      </c>
      <c r="L67" s="3">
        <f>IFERROR(--_xlfn.TEXTBEFORE(Table1[[#This Row],[slot_number]],"-"),9999)</f>
        <v>3</v>
      </c>
      <c r="M67" s="3">
        <f>IFERROR(--_xlfn.TEXTAFTER(Table1[[#This Row],[slot_number]],"-"),9999)</f>
        <v>6</v>
      </c>
      <c r="CV67" s="7"/>
      <c r="CW67" s="7"/>
    </row>
    <row r="68" spans="1:101" s="3" customFormat="1" x14ac:dyDescent="0.25">
      <c r="A68" s="1">
        <v>283</v>
      </c>
      <c r="B68" s="1" t="str">
        <f t="shared" si="1"/>
        <v>3</v>
      </c>
      <c r="C68" s="2" t="s">
        <v>214</v>
      </c>
      <c r="D68" s="1" t="s">
        <v>14</v>
      </c>
      <c r="E68" s="1" t="s">
        <v>215</v>
      </c>
      <c r="F68" s="1" t="str">
        <f>SUBSTITUTE(Table1[[#This Row],[asset_tag]], "-", "")</f>
        <v>DDC4CY002586</v>
      </c>
      <c r="G68" s="1" t="s">
        <v>216</v>
      </c>
      <c r="H68" s="1" t="str">
        <f>IFERROR(VLOOKUP(F68, [1]BQ25_laptop_data_mod!A:C, 3, FALSE), "no MAC found")</f>
        <v>10-98-19-4A-7C-4F</v>
      </c>
      <c r="I68" s="1" t="s">
        <v>17</v>
      </c>
      <c r="J68" s="1" t="s">
        <v>18</v>
      </c>
      <c r="K68" s="1">
        <v>2250</v>
      </c>
      <c r="L68" s="3">
        <f>IFERROR(--_xlfn.TEXTBEFORE(Table1[[#This Row],[slot_number]],"-"),9999)</f>
        <v>3</v>
      </c>
      <c r="M68" s="3">
        <f>IFERROR(--_xlfn.TEXTAFTER(Table1[[#This Row],[slot_number]],"-"),9999)</f>
        <v>7</v>
      </c>
    </row>
    <row r="69" spans="1:101" s="3" customFormat="1" x14ac:dyDescent="0.25">
      <c r="A69" s="1">
        <v>283</v>
      </c>
      <c r="B69" s="1" t="str">
        <f t="shared" si="1"/>
        <v>3</v>
      </c>
      <c r="C69" s="2" t="s">
        <v>217</v>
      </c>
      <c r="D69" s="1" t="s">
        <v>14</v>
      </c>
      <c r="E69" s="1" t="s">
        <v>218</v>
      </c>
      <c r="F69" s="1" t="str">
        <f>SUBSTITUTE(Table1[[#This Row],[asset_tag]], "-", "")</f>
        <v>DDC4CY002513</v>
      </c>
      <c r="G69" s="1" t="s">
        <v>219</v>
      </c>
      <c r="H69" s="1" t="str">
        <f>IFERROR(VLOOKUP(F69, [1]BQ25_laptop_data_mod!A:C, 3, FALSE), "no MAC found")</f>
        <v>10-98-19-4A-65-DE</v>
      </c>
      <c r="I69" s="1" t="s">
        <v>17</v>
      </c>
      <c r="J69" s="1" t="s">
        <v>18</v>
      </c>
      <c r="K69" s="1">
        <v>2250</v>
      </c>
      <c r="L69" s="3">
        <f>IFERROR(--_xlfn.TEXTBEFORE(Table1[[#This Row],[slot_number]],"-"),9999)</f>
        <v>3</v>
      </c>
      <c r="M69" s="3">
        <f>IFERROR(--_xlfn.TEXTAFTER(Table1[[#This Row],[slot_number]],"-"),9999)</f>
        <v>8</v>
      </c>
    </row>
    <row r="70" spans="1:101" s="3" customFormat="1" x14ac:dyDescent="0.25">
      <c r="A70" s="1">
        <v>283</v>
      </c>
      <c r="B70" s="1" t="str">
        <f t="shared" si="1"/>
        <v>3</v>
      </c>
      <c r="C70" s="2" t="s">
        <v>220</v>
      </c>
      <c r="D70" s="1" t="s">
        <v>14</v>
      </c>
      <c r="E70" s="1" t="s">
        <v>221</v>
      </c>
      <c r="F70" s="1" t="str">
        <f>SUBSTITUTE(Table1[[#This Row],[asset_tag]], "-", "")</f>
        <v>DDC4CY002657</v>
      </c>
      <c r="G70" s="1" t="s">
        <v>222</v>
      </c>
      <c r="H70" s="1" t="str">
        <f>IFERROR(VLOOKUP(F70, [1]BQ25_laptop_data_mod!A:C, 3, FALSE), "no MAC found")</f>
        <v>10-98-19-4A-66-A8</v>
      </c>
      <c r="I70" s="1" t="s">
        <v>17</v>
      </c>
      <c r="J70" s="1" t="s">
        <v>18</v>
      </c>
      <c r="K70" s="1">
        <v>2250</v>
      </c>
      <c r="L70" s="3">
        <f>IFERROR(--_xlfn.TEXTBEFORE(Table1[[#This Row],[slot_number]],"-"),9999)</f>
        <v>3</v>
      </c>
      <c r="M70" s="3">
        <f>IFERROR(--_xlfn.TEXTAFTER(Table1[[#This Row],[slot_number]],"-"),9999)</f>
        <v>9</v>
      </c>
      <c r="CT70" s="7"/>
    </row>
    <row r="71" spans="1:101" s="3" customFormat="1" x14ac:dyDescent="0.25">
      <c r="A71" s="1">
        <v>283</v>
      </c>
      <c r="B71" s="1" t="str">
        <f t="shared" si="1"/>
        <v>3</v>
      </c>
      <c r="C71" s="2" t="s">
        <v>223</v>
      </c>
      <c r="D71" s="1" t="s">
        <v>14</v>
      </c>
      <c r="E71" s="1" t="s">
        <v>224</v>
      </c>
      <c r="F71" s="1" t="str">
        <f>SUBSTITUTE(Table1[[#This Row],[asset_tag]], "-", "")</f>
        <v>DDC4CY002593</v>
      </c>
      <c r="G71" s="1" t="s">
        <v>225</v>
      </c>
      <c r="H71" s="1" t="str">
        <f>IFERROR(VLOOKUP(F71, [1]BQ25_laptop_data_mod!A:C, 3, FALSE), "no MAC found")</f>
        <v>10-98-19-4A-51-B0</v>
      </c>
      <c r="I71" s="1" t="s">
        <v>17</v>
      </c>
      <c r="J71" s="1" t="s">
        <v>18</v>
      </c>
      <c r="K71" s="1">
        <v>2250</v>
      </c>
      <c r="L71" s="3">
        <f>IFERROR(--_xlfn.TEXTBEFORE(Table1[[#This Row],[slot_number]],"-"),9999)</f>
        <v>3</v>
      </c>
      <c r="M71" s="3">
        <f>IFERROR(--_xlfn.TEXTAFTER(Table1[[#This Row],[slot_number]],"-"),9999)</f>
        <v>10</v>
      </c>
      <c r="CV71" s="8"/>
      <c r="CW71" s="8"/>
    </row>
    <row r="72" spans="1:101" s="3" customFormat="1" x14ac:dyDescent="0.25">
      <c r="A72" s="1">
        <v>283</v>
      </c>
      <c r="B72" s="1" t="str">
        <f t="shared" si="1"/>
        <v>3</v>
      </c>
      <c r="C72" s="2" t="s">
        <v>226</v>
      </c>
      <c r="D72" s="1" t="s">
        <v>14</v>
      </c>
      <c r="E72" s="1" t="s">
        <v>227</v>
      </c>
      <c r="F72" s="1" t="str">
        <f>SUBSTITUTE(Table1[[#This Row],[asset_tag]], "-", "")</f>
        <v>DDC4CY002654</v>
      </c>
      <c r="G72" s="1" t="s">
        <v>51</v>
      </c>
      <c r="H72" s="1" t="str">
        <f>IFERROR(VLOOKUP(F72, [1]BQ25_laptop_data_mod!A:C, 3, FALSE), "no MAC found")</f>
        <v>10-98-19-4A-52-A9</v>
      </c>
      <c r="I72" s="1" t="s">
        <v>17</v>
      </c>
      <c r="J72" s="1" t="s">
        <v>18</v>
      </c>
      <c r="K72" s="1">
        <v>2250</v>
      </c>
      <c r="L72" s="3">
        <f>IFERROR(--_xlfn.TEXTBEFORE(Table1[[#This Row],[slot_number]],"-"),9999)</f>
        <v>3</v>
      </c>
      <c r="M72" s="3">
        <f>IFERROR(--_xlfn.TEXTAFTER(Table1[[#This Row],[slot_number]],"-"),9999)</f>
        <v>11</v>
      </c>
    </row>
    <row r="73" spans="1:101" s="3" customFormat="1" x14ac:dyDescent="0.25">
      <c r="A73" s="1">
        <v>283</v>
      </c>
      <c r="B73" s="1" t="str">
        <f t="shared" si="1"/>
        <v>3</v>
      </c>
      <c r="C73" s="2" t="s">
        <v>228</v>
      </c>
      <c r="D73" s="1" t="s">
        <v>14</v>
      </c>
      <c r="E73" s="1" t="s">
        <v>229</v>
      </c>
      <c r="F73" s="1" t="str">
        <f>SUBSTITUTE(Table1[[#This Row],[asset_tag]], "-", "")</f>
        <v>DDC4CY002661</v>
      </c>
      <c r="G73" s="1" t="s">
        <v>230</v>
      </c>
      <c r="H73" s="1" t="str">
        <f>IFERROR(VLOOKUP(F73, [1]BQ25_laptop_data_mod!A:C, 3, FALSE), "no MAC found")</f>
        <v>10-98-19-4A-52-B8</v>
      </c>
      <c r="I73" s="1" t="s">
        <v>17</v>
      </c>
      <c r="J73" s="1" t="s">
        <v>18</v>
      </c>
      <c r="K73" s="1">
        <v>2250</v>
      </c>
      <c r="L73" s="3">
        <f>IFERROR(--_xlfn.TEXTBEFORE(Table1[[#This Row],[slot_number]],"-"),9999)</f>
        <v>3</v>
      </c>
      <c r="M73" s="3">
        <f>IFERROR(--_xlfn.TEXTAFTER(Table1[[#This Row],[slot_number]],"-"),9999)</f>
        <v>12</v>
      </c>
    </row>
    <row r="74" spans="1:101" s="3" customFormat="1" x14ac:dyDescent="0.25">
      <c r="A74" s="1">
        <v>283</v>
      </c>
      <c r="B74" s="1" t="str">
        <f t="shared" si="1"/>
        <v>3</v>
      </c>
      <c r="C74" s="2" t="s">
        <v>231</v>
      </c>
      <c r="D74" s="1" t="s">
        <v>14</v>
      </c>
      <c r="E74" s="1" t="s">
        <v>232</v>
      </c>
      <c r="F74" s="1" t="str">
        <f>SUBSTITUTE(Table1[[#This Row],[asset_tag]], "-", "")</f>
        <v>DDC4CY002741</v>
      </c>
      <c r="G74" s="1" t="s">
        <v>233</v>
      </c>
      <c r="H74" s="1" t="str">
        <f>IFERROR(VLOOKUP(F74, [1]BQ25_laptop_data_mod!A:C, 3, FALSE), "no MAC found")</f>
        <v>AC-B4-80-45-6B-5B</v>
      </c>
      <c r="I74" s="1" t="s">
        <v>17</v>
      </c>
      <c r="J74" s="1" t="s">
        <v>18</v>
      </c>
      <c r="K74" s="1">
        <v>2335</v>
      </c>
      <c r="L74" s="3">
        <f>IFERROR(--_xlfn.TEXTBEFORE(Table1[[#This Row],[slot_number]],"-"),9999)</f>
        <v>3</v>
      </c>
      <c r="M74" s="3">
        <f>IFERROR(--_xlfn.TEXTAFTER(Table1[[#This Row],[slot_number]],"-"),9999)</f>
        <v>13</v>
      </c>
    </row>
    <row r="75" spans="1:101" s="3" customFormat="1" x14ac:dyDescent="0.25">
      <c r="A75" s="1">
        <v>283</v>
      </c>
      <c r="B75" s="1" t="str">
        <f t="shared" si="1"/>
        <v>3</v>
      </c>
      <c r="C75" s="2" t="s">
        <v>234</v>
      </c>
      <c r="D75" s="1" t="s">
        <v>14</v>
      </c>
      <c r="E75" s="1" t="s">
        <v>235</v>
      </c>
      <c r="F75" s="1" t="str">
        <f>SUBSTITUTE(Table1[[#This Row],[asset_tag]], "-", "")</f>
        <v>DDC4CY002656</v>
      </c>
      <c r="G75" s="1" t="s">
        <v>236</v>
      </c>
      <c r="H75" s="1" t="str">
        <f>IFERROR(VLOOKUP(F75, [1]BQ25_laptop_data_mod!A:C, 3, FALSE), "no MAC found")</f>
        <v>10-98-19-4A-65-88</v>
      </c>
      <c r="I75" s="1" t="s">
        <v>17</v>
      </c>
      <c r="J75" s="1" t="s">
        <v>18</v>
      </c>
      <c r="K75" s="1">
        <v>2250</v>
      </c>
      <c r="L75" s="3">
        <f>IFERROR(--_xlfn.TEXTBEFORE(Table1[[#This Row],[slot_number]],"-"),9999)</f>
        <v>3</v>
      </c>
      <c r="M75" s="3">
        <f>IFERROR(--_xlfn.TEXTAFTER(Table1[[#This Row],[slot_number]],"-"),9999)</f>
        <v>14</v>
      </c>
    </row>
    <row r="76" spans="1:101" s="3" customFormat="1" x14ac:dyDescent="0.25">
      <c r="A76" s="1">
        <v>283</v>
      </c>
      <c r="B76" s="1" t="str">
        <f t="shared" si="1"/>
        <v>3</v>
      </c>
      <c r="C76" s="2" t="s">
        <v>237</v>
      </c>
      <c r="D76" s="1" t="s">
        <v>14</v>
      </c>
      <c r="E76" s="1" t="s">
        <v>238</v>
      </c>
      <c r="F76" s="1" t="str">
        <f>SUBSTITUTE(Table1[[#This Row],[asset_tag]], "-", "")</f>
        <v>DDC4CY002683</v>
      </c>
      <c r="G76" s="1" t="s">
        <v>239</v>
      </c>
      <c r="H76" s="1" t="str">
        <f>IFERROR(VLOOKUP(F76, [1]BQ25_laptop_data_mod!A:C, 3, FALSE), "no MAC found")</f>
        <v>10-98-19-4A-65-DF</v>
      </c>
      <c r="I76" s="1" t="s">
        <v>17</v>
      </c>
      <c r="J76" s="1" t="s">
        <v>18</v>
      </c>
      <c r="K76" s="1">
        <v>2250</v>
      </c>
      <c r="L76" s="3">
        <f>IFERROR(--_xlfn.TEXTBEFORE(Table1[[#This Row],[slot_number]],"-"),9999)</f>
        <v>3</v>
      </c>
      <c r="M76" s="3">
        <f>IFERROR(--_xlfn.TEXTAFTER(Table1[[#This Row],[slot_number]],"-"),9999)</f>
        <v>15</v>
      </c>
    </row>
    <row r="77" spans="1:101" s="3" customFormat="1" x14ac:dyDescent="0.25">
      <c r="A77" s="1">
        <v>283</v>
      </c>
      <c r="B77" s="1" t="str">
        <f t="shared" si="1"/>
        <v>3</v>
      </c>
      <c r="C77" s="2" t="s">
        <v>240</v>
      </c>
      <c r="D77" s="1" t="s">
        <v>14</v>
      </c>
      <c r="E77" s="1" t="s">
        <v>241</v>
      </c>
      <c r="F77" s="1" t="str">
        <f>SUBSTITUTE(Table1[[#This Row],[asset_tag]], "-", "")</f>
        <v>DDC4CY002565</v>
      </c>
      <c r="G77" s="1" t="s">
        <v>242</v>
      </c>
      <c r="H77" s="1" t="str">
        <f>IFERROR(VLOOKUP(F77, [1]BQ25_laptop_data_mod!A:C, 3, FALSE), "no MAC found")</f>
        <v>10-98-19-4A-53-03</v>
      </c>
      <c r="I77" s="1" t="s">
        <v>17</v>
      </c>
      <c r="J77" s="1" t="s">
        <v>18</v>
      </c>
      <c r="K77" s="1">
        <v>2250</v>
      </c>
      <c r="L77" s="3">
        <f>IFERROR(--_xlfn.TEXTBEFORE(Table1[[#This Row],[slot_number]],"-"),9999)</f>
        <v>3</v>
      </c>
      <c r="M77" s="3">
        <f>IFERROR(--_xlfn.TEXTAFTER(Table1[[#This Row],[slot_number]],"-"),9999)</f>
        <v>16</v>
      </c>
    </row>
    <row r="78" spans="1:101" s="3" customFormat="1" x14ac:dyDescent="0.25">
      <c r="A78" s="1">
        <v>283</v>
      </c>
      <c r="B78" s="1" t="str">
        <f t="shared" si="1"/>
        <v>3</v>
      </c>
      <c r="C78" s="2" t="s">
        <v>243</v>
      </c>
      <c r="D78" s="1" t="s">
        <v>14</v>
      </c>
      <c r="E78" s="1" t="s">
        <v>244</v>
      </c>
      <c r="F78" s="1" t="str">
        <f>SUBSTITUTE(Table1[[#This Row],[asset_tag]], "-", "")</f>
        <v>DDC4CY002679</v>
      </c>
      <c r="G78" s="1" t="s">
        <v>245</v>
      </c>
      <c r="H78" s="1" t="str">
        <f>IFERROR(VLOOKUP(F78, [1]BQ25_laptop_data_mod!A:C, 3, FALSE), "no MAC found")</f>
        <v>10-98-19-4A-52-7B</v>
      </c>
      <c r="I78" s="1" t="s">
        <v>17</v>
      </c>
      <c r="J78" s="1" t="s">
        <v>18</v>
      </c>
      <c r="K78" s="1">
        <v>2250</v>
      </c>
      <c r="L78" s="3">
        <f>IFERROR(--_xlfn.TEXTBEFORE(Table1[[#This Row],[slot_number]],"-"),9999)</f>
        <v>3</v>
      </c>
      <c r="M78" s="3">
        <f>IFERROR(--_xlfn.TEXTAFTER(Table1[[#This Row],[slot_number]],"-"),9999)</f>
        <v>17</v>
      </c>
    </row>
    <row r="79" spans="1:101" s="3" customFormat="1" x14ac:dyDescent="0.25">
      <c r="A79" s="1">
        <v>283</v>
      </c>
      <c r="B79" s="1" t="str">
        <f t="shared" si="1"/>
        <v>3</v>
      </c>
      <c r="C79" s="2" t="s">
        <v>246</v>
      </c>
      <c r="D79" s="1" t="s">
        <v>14</v>
      </c>
      <c r="E79" s="1" t="s">
        <v>247</v>
      </c>
      <c r="F79" s="1" t="str">
        <f>SUBSTITUTE(Table1[[#This Row],[asset_tag]], "-", "")</f>
        <v>DDC4CY002625</v>
      </c>
      <c r="G79" s="1" t="s">
        <v>248</v>
      </c>
      <c r="H79" s="1" t="str">
        <f>IFERROR(VLOOKUP(F79, [1]BQ25_laptop_data_mod!A:C, 3, FALSE), "no MAC found")</f>
        <v>10-98-19-4A-66-4C</v>
      </c>
      <c r="I79" s="1" t="s">
        <v>17</v>
      </c>
      <c r="J79" s="1" t="s">
        <v>18</v>
      </c>
      <c r="K79" s="1">
        <v>2250</v>
      </c>
      <c r="L79" s="3">
        <f>IFERROR(--_xlfn.TEXTBEFORE(Table1[[#This Row],[slot_number]],"-"),9999)</f>
        <v>3</v>
      </c>
      <c r="M79" s="3">
        <f>IFERROR(--_xlfn.TEXTAFTER(Table1[[#This Row],[slot_number]],"-"),9999)</f>
        <v>18</v>
      </c>
      <c r="CT79" s="5"/>
    </row>
    <row r="80" spans="1:101" s="3" customFormat="1" ht="15.75" customHeight="1" x14ac:dyDescent="0.25">
      <c r="A80" s="1">
        <v>283</v>
      </c>
      <c r="B80" s="1" t="str">
        <f t="shared" si="1"/>
        <v>3</v>
      </c>
      <c r="C80" s="2" t="s">
        <v>249</v>
      </c>
      <c r="D80" s="1" t="s">
        <v>14</v>
      </c>
      <c r="E80" s="1" t="s">
        <v>250</v>
      </c>
      <c r="F80" s="1" t="str">
        <f>SUBSTITUTE(Table1[[#This Row],[asset_tag]], "-", "")</f>
        <v>DDC4CY002756</v>
      </c>
      <c r="G80" s="1" t="s">
        <v>251</v>
      </c>
      <c r="H80" s="1" t="str">
        <f>IFERROR(VLOOKUP(F80, [1]BQ25_laptop_data_mod!A:C, 3, FALSE), "no MAC found")</f>
        <v>AC-B4-80-45-6B-E9</v>
      </c>
      <c r="I80" s="1" t="s">
        <v>17</v>
      </c>
      <c r="J80" s="1" t="s">
        <v>18</v>
      </c>
      <c r="K80" s="1">
        <v>2335</v>
      </c>
      <c r="L80" s="3">
        <f>IFERROR(--_xlfn.TEXTBEFORE(Table1[[#This Row],[slot_number]],"-"),9999)</f>
        <v>3</v>
      </c>
      <c r="M80" s="3">
        <f>IFERROR(--_xlfn.TEXTAFTER(Table1[[#This Row],[slot_number]],"-"),9999)</f>
        <v>19</v>
      </c>
      <c r="CT80" s="5"/>
    </row>
    <row r="81" spans="1:101" s="3" customFormat="1" x14ac:dyDescent="0.25">
      <c r="A81" s="1">
        <v>283</v>
      </c>
      <c r="B81" s="1" t="str">
        <f t="shared" si="1"/>
        <v>3</v>
      </c>
      <c r="C81" s="2" t="s">
        <v>252</v>
      </c>
      <c r="D81" s="1" t="s">
        <v>14</v>
      </c>
      <c r="E81" s="1" t="s">
        <v>253</v>
      </c>
      <c r="F81" s="1" t="str">
        <f>SUBSTITUTE(Table1[[#This Row],[asset_tag]], "-", "")</f>
        <v>DDC4CY002552</v>
      </c>
      <c r="G81" s="1" t="s">
        <v>254</v>
      </c>
      <c r="H81" s="1" t="str">
        <f>IFERROR(VLOOKUP(F81, [1]BQ25_laptop_data_mod!A:C, 3, FALSE), "no MAC found")</f>
        <v>10-98-19-4A-51-AF</v>
      </c>
      <c r="I81" s="1" t="s">
        <v>17</v>
      </c>
      <c r="J81" s="1" t="s">
        <v>18</v>
      </c>
      <c r="K81" s="1">
        <v>2250</v>
      </c>
      <c r="L81" s="3">
        <f>IFERROR(--_xlfn.TEXTBEFORE(Table1[[#This Row],[slot_number]],"-"),9999)</f>
        <v>3</v>
      </c>
      <c r="M81" s="3">
        <f>IFERROR(--_xlfn.TEXTAFTER(Table1[[#This Row],[slot_number]],"-"),9999)</f>
        <v>20</v>
      </c>
      <c r="CT81" s="5"/>
    </row>
    <row r="82" spans="1:101" s="3" customFormat="1" x14ac:dyDescent="0.25">
      <c r="A82" s="1">
        <v>283</v>
      </c>
      <c r="B82" s="1" t="str">
        <f t="shared" si="1"/>
        <v>3</v>
      </c>
      <c r="C82" s="2" t="s">
        <v>255</v>
      </c>
      <c r="D82" s="1" t="s">
        <v>14</v>
      </c>
      <c r="E82" s="1" t="s">
        <v>256</v>
      </c>
      <c r="F82" s="1" t="str">
        <f>SUBSTITUTE(Table1[[#This Row],[asset_tag]], "-", "")</f>
        <v>DDC4CY002777</v>
      </c>
      <c r="G82" s="1" t="s">
        <v>257</v>
      </c>
      <c r="H82" s="1" t="str">
        <f>IFERROR(VLOOKUP(F82, [1]BQ25_laptop_data_mod!A:C, 3, FALSE), "no MAC found")</f>
        <v>AC-B4-80-45-6B-4D</v>
      </c>
      <c r="I82" s="1" t="s">
        <v>17</v>
      </c>
      <c r="J82" s="1" t="s">
        <v>18</v>
      </c>
      <c r="K82" s="1">
        <v>2335</v>
      </c>
      <c r="L82" s="3">
        <f>IFERROR(--_xlfn.TEXTBEFORE(Table1[[#This Row],[slot_number]],"-"),9999)</f>
        <v>3</v>
      </c>
      <c r="M82" s="3">
        <f>IFERROR(--_xlfn.TEXTAFTER(Table1[[#This Row],[slot_number]],"-"),9999)</f>
        <v>21</v>
      </c>
    </row>
    <row r="83" spans="1:101" s="3" customFormat="1" x14ac:dyDescent="0.25">
      <c r="A83" s="1">
        <v>283</v>
      </c>
      <c r="B83" s="1" t="str">
        <f t="shared" si="1"/>
        <v>3</v>
      </c>
      <c r="C83" s="2" t="s">
        <v>258</v>
      </c>
      <c r="D83" s="1" t="s">
        <v>14</v>
      </c>
      <c r="E83" s="1" t="s">
        <v>259</v>
      </c>
      <c r="F83" s="1" t="str">
        <f>SUBSTITUTE(Table1[[#This Row],[asset_tag]], "-", "")</f>
        <v>DDC4CY002556</v>
      </c>
      <c r="G83" s="1" t="s">
        <v>260</v>
      </c>
      <c r="H83" s="1" t="str">
        <f>IFERROR(VLOOKUP(F83, [1]BQ25_laptop_data_mod!A:C, 3, FALSE), "no MAC found")</f>
        <v>10-98-19-4A-52-D3</v>
      </c>
      <c r="I83" s="1" t="s">
        <v>17</v>
      </c>
      <c r="J83" s="1" t="s">
        <v>18</v>
      </c>
      <c r="K83" s="1">
        <v>2250</v>
      </c>
      <c r="L83" s="3">
        <f>IFERROR(--_xlfn.TEXTBEFORE(Table1[[#This Row],[slot_number]],"-"),9999)</f>
        <v>3</v>
      </c>
      <c r="M83" s="3">
        <f>IFERROR(--_xlfn.TEXTAFTER(Table1[[#This Row],[slot_number]],"-"),9999)</f>
        <v>22</v>
      </c>
      <c r="CT83" s="5"/>
    </row>
    <row r="84" spans="1:101" s="3" customFormat="1" x14ac:dyDescent="0.25">
      <c r="A84" s="1">
        <v>283</v>
      </c>
      <c r="B84" s="1" t="str">
        <f t="shared" si="1"/>
        <v>3</v>
      </c>
      <c r="C84" s="2" t="s">
        <v>261</v>
      </c>
      <c r="D84" s="1" t="s">
        <v>14</v>
      </c>
      <c r="E84" s="1" t="s">
        <v>262</v>
      </c>
      <c r="F84" s="1" t="str">
        <f>SUBSTITUTE(Table1[[#This Row],[asset_tag]], "-", "")</f>
        <v>DDC4CY002682</v>
      </c>
      <c r="G84" s="1" t="s">
        <v>263</v>
      </c>
      <c r="H84" s="1" t="str">
        <f>IFERROR(VLOOKUP(F84, [1]BQ25_laptop_data_mod!A:C, 3, FALSE), "no MAC found")</f>
        <v>10-98-19-4A-52-47</v>
      </c>
      <c r="I84" s="1" t="s">
        <v>17</v>
      </c>
      <c r="J84" s="1" t="s">
        <v>18</v>
      </c>
      <c r="K84" s="1">
        <v>2250</v>
      </c>
      <c r="L84" s="3">
        <f>IFERROR(--_xlfn.TEXTBEFORE(Table1[[#This Row],[slot_number]],"-"),9999)</f>
        <v>3</v>
      </c>
      <c r="M84" s="3">
        <f>IFERROR(--_xlfn.TEXTAFTER(Table1[[#This Row],[slot_number]],"-"),9999)</f>
        <v>23</v>
      </c>
      <c r="CV84" s="5"/>
      <c r="CW84" s="5"/>
    </row>
    <row r="85" spans="1:101" s="3" customFormat="1" x14ac:dyDescent="0.25">
      <c r="A85" s="1">
        <v>283</v>
      </c>
      <c r="B85" s="1" t="str">
        <f t="shared" si="1"/>
        <v>3</v>
      </c>
      <c r="C85" s="2" t="s">
        <v>264</v>
      </c>
      <c r="D85" s="1" t="s">
        <v>14</v>
      </c>
      <c r="E85" s="1" t="s">
        <v>265</v>
      </c>
      <c r="F85" s="1" t="str">
        <f>SUBSTITUTE(Table1[[#This Row],[asset_tag]], "-", "")</f>
        <v>DDC4CY002534</v>
      </c>
      <c r="G85" s="1" t="s">
        <v>266</v>
      </c>
      <c r="H85" s="1" t="str">
        <f>IFERROR(VLOOKUP(F85, [1]BQ25_laptop_data_mod!A:C, 3, FALSE), "no MAC found")</f>
        <v>10-98-19-4A-51-9F</v>
      </c>
      <c r="I85" s="1" t="s">
        <v>17</v>
      </c>
      <c r="J85" s="1" t="s">
        <v>18</v>
      </c>
      <c r="K85" s="1">
        <v>2250</v>
      </c>
      <c r="L85" s="3">
        <f>IFERROR(--_xlfn.TEXTBEFORE(Table1[[#This Row],[slot_number]],"-"),9999)</f>
        <v>3</v>
      </c>
      <c r="M85" s="3">
        <f>IFERROR(--_xlfn.TEXTAFTER(Table1[[#This Row],[slot_number]],"-"),9999)</f>
        <v>24</v>
      </c>
    </row>
    <row r="86" spans="1:101" s="3" customFormat="1" x14ac:dyDescent="0.25">
      <c r="A86" s="1">
        <v>283</v>
      </c>
      <c r="B86" s="1" t="str">
        <f t="shared" si="1"/>
        <v>3</v>
      </c>
      <c r="C86" s="2" t="s">
        <v>267</v>
      </c>
      <c r="D86" s="1" t="s">
        <v>14</v>
      </c>
      <c r="E86" s="1" t="s">
        <v>268</v>
      </c>
      <c r="F86" s="1" t="str">
        <f>SUBSTITUTE(Table1[[#This Row],[asset_tag]], "-", "")</f>
        <v>DDC4CY002744</v>
      </c>
      <c r="G86" s="1" t="s">
        <v>269</v>
      </c>
      <c r="H86" s="1" t="str">
        <f>IFERROR(VLOOKUP(F86, [1]BQ25_laptop_data_mod!A:C, 3, FALSE), "no MAC found")</f>
        <v>AC-B4-80-45-6B-53</v>
      </c>
      <c r="I86" s="1" t="s">
        <v>17</v>
      </c>
      <c r="J86" s="1" t="s">
        <v>18</v>
      </c>
      <c r="K86" s="1">
        <v>2335</v>
      </c>
      <c r="L86" s="3">
        <f>IFERROR(--_xlfn.TEXTBEFORE(Table1[[#This Row],[slot_number]],"-"),9999)</f>
        <v>3</v>
      </c>
      <c r="M86" s="3">
        <f>IFERROR(--_xlfn.TEXTAFTER(Table1[[#This Row],[slot_number]],"-"),9999)</f>
        <v>25</v>
      </c>
    </row>
    <row r="87" spans="1:101" s="3" customFormat="1" x14ac:dyDescent="0.25">
      <c r="A87" s="1">
        <v>283</v>
      </c>
      <c r="B87" s="1" t="str">
        <f t="shared" si="1"/>
        <v>3</v>
      </c>
      <c r="C87" s="2" t="s">
        <v>270</v>
      </c>
      <c r="D87" s="1" t="s">
        <v>14</v>
      </c>
      <c r="E87" s="1" t="s">
        <v>271</v>
      </c>
      <c r="F87" s="1" t="str">
        <f>SUBSTITUTE(Table1[[#This Row],[asset_tag]], "-", "")</f>
        <v>DDC4CY002667</v>
      </c>
      <c r="G87" s="1" t="s">
        <v>272</v>
      </c>
      <c r="H87" s="1" t="str">
        <f>IFERROR(VLOOKUP(F87, [1]BQ25_laptop_data_mod!A:C, 3, FALSE), "no MAC found")</f>
        <v>10-98-19-4A-50-AE</v>
      </c>
      <c r="I87" s="1" t="s">
        <v>17</v>
      </c>
      <c r="J87" s="1" t="s">
        <v>18</v>
      </c>
      <c r="K87" s="1">
        <v>2250</v>
      </c>
      <c r="L87" s="3">
        <f>IFERROR(--_xlfn.TEXTBEFORE(Table1[[#This Row],[slot_number]],"-"),9999)</f>
        <v>3</v>
      </c>
      <c r="M87" s="3">
        <f>IFERROR(--_xlfn.TEXTAFTER(Table1[[#This Row],[slot_number]],"-"),9999)</f>
        <v>26</v>
      </c>
      <c r="CT87" s="5"/>
    </row>
    <row r="88" spans="1:101" s="3" customFormat="1" x14ac:dyDescent="0.25">
      <c r="A88" s="1">
        <v>283</v>
      </c>
      <c r="B88" s="1" t="str">
        <f t="shared" si="1"/>
        <v>3</v>
      </c>
      <c r="C88" s="2" t="s">
        <v>273</v>
      </c>
      <c r="D88" s="1" t="s">
        <v>14</v>
      </c>
      <c r="E88" s="1" t="s">
        <v>274</v>
      </c>
      <c r="F88" s="1" t="str">
        <f>SUBSTITUTE(Table1[[#This Row],[asset_tag]], "-", "")</f>
        <v>DDC4CY002524</v>
      </c>
      <c r="G88" s="1" t="s">
        <v>275</v>
      </c>
      <c r="H88" s="1" t="str">
        <f>IFERROR(VLOOKUP(F88, [1]BQ25_laptop_data_mod!A:C, 3, FALSE), "no MAC found")</f>
        <v>10-98-19-4A-51-F6</v>
      </c>
      <c r="I88" s="1" t="s">
        <v>17</v>
      </c>
      <c r="J88" s="1" t="s">
        <v>18</v>
      </c>
      <c r="K88" s="1">
        <v>2250</v>
      </c>
      <c r="L88" s="3">
        <f>IFERROR(--_xlfn.TEXTBEFORE(Table1[[#This Row],[slot_number]],"-"),9999)</f>
        <v>3</v>
      </c>
      <c r="M88" s="3">
        <f>IFERROR(--_xlfn.TEXTAFTER(Table1[[#This Row],[slot_number]],"-"),9999)</f>
        <v>27</v>
      </c>
    </row>
    <row r="89" spans="1:101" s="3" customFormat="1" x14ac:dyDescent="0.25">
      <c r="A89" s="1">
        <v>283</v>
      </c>
      <c r="B89" s="1" t="str">
        <f t="shared" si="1"/>
        <v>3</v>
      </c>
      <c r="C89" s="2" t="s">
        <v>276</v>
      </c>
      <c r="D89" s="1" t="s">
        <v>14</v>
      </c>
      <c r="E89" s="1" t="s">
        <v>277</v>
      </c>
      <c r="F89" s="1" t="str">
        <f>SUBSTITUTE(Table1[[#This Row],[asset_tag]], "-", "")</f>
        <v>DDC4CY002567</v>
      </c>
      <c r="G89" s="1" t="s">
        <v>278</v>
      </c>
      <c r="H89" s="1" t="str">
        <f>IFERROR(VLOOKUP(F89, [1]BQ25_laptop_data_mod!A:C, 3, FALSE), "no MAC found")</f>
        <v>10-98-19-4A-66-A6</v>
      </c>
      <c r="I89" s="1" t="s">
        <v>17</v>
      </c>
      <c r="J89" s="1" t="s">
        <v>18</v>
      </c>
      <c r="K89" s="1">
        <v>2250</v>
      </c>
      <c r="L89" s="3">
        <f>IFERROR(--_xlfn.TEXTBEFORE(Table1[[#This Row],[slot_number]],"-"),9999)</f>
        <v>3</v>
      </c>
      <c r="M89" s="3">
        <f>IFERROR(--_xlfn.TEXTAFTER(Table1[[#This Row],[slot_number]],"-"),9999)</f>
        <v>28</v>
      </c>
      <c r="CV89" s="8"/>
      <c r="CW89" s="8"/>
    </row>
    <row r="90" spans="1:101" s="3" customFormat="1" x14ac:dyDescent="0.25">
      <c r="A90" s="1">
        <v>283</v>
      </c>
      <c r="B90" s="1" t="str">
        <f t="shared" si="1"/>
        <v>3</v>
      </c>
      <c r="C90" s="2" t="s">
        <v>279</v>
      </c>
      <c r="D90" s="1" t="s">
        <v>14</v>
      </c>
      <c r="E90" s="1" t="s">
        <v>280</v>
      </c>
      <c r="F90" s="1" t="str">
        <f>SUBSTITUTE(Table1[[#This Row],[asset_tag]], "-", "")</f>
        <v>DDC4CY002510</v>
      </c>
      <c r="G90" s="1" t="s">
        <v>281</v>
      </c>
      <c r="H90" s="1" t="str">
        <f>IFERROR(VLOOKUP(F90, [1]BQ25_laptop_data_mod!A:C, 3, FALSE), "no MAC found")</f>
        <v>10-98-19-4A-67-1D</v>
      </c>
      <c r="I90" s="1" t="s">
        <v>17</v>
      </c>
      <c r="J90" s="1" t="s">
        <v>18</v>
      </c>
      <c r="K90" s="1">
        <v>2250</v>
      </c>
      <c r="L90" s="3">
        <f>IFERROR(--_xlfn.TEXTBEFORE(Table1[[#This Row],[slot_number]],"-"),9999)</f>
        <v>3</v>
      </c>
      <c r="M90" s="3">
        <f>IFERROR(--_xlfn.TEXTAFTER(Table1[[#This Row],[slot_number]],"-"),9999)</f>
        <v>29</v>
      </c>
      <c r="CV90" s="5"/>
      <c r="CW90" s="5"/>
    </row>
    <row r="91" spans="1:101" s="3" customFormat="1" x14ac:dyDescent="0.25">
      <c r="A91" s="1">
        <v>283</v>
      </c>
      <c r="B91" s="1" t="str">
        <f t="shared" si="1"/>
        <v>3</v>
      </c>
      <c r="C91" s="2" t="s">
        <v>282</v>
      </c>
      <c r="D91" s="1" t="s">
        <v>14</v>
      </c>
      <c r="E91" s="1" t="s">
        <v>283</v>
      </c>
      <c r="F91" s="1" t="str">
        <f>SUBSTITUTE(Table1[[#This Row],[asset_tag]], "-", "")</f>
        <v>DDC4CY002517</v>
      </c>
      <c r="G91" s="1" t="s">
        <v>284</v>
      </c>
      <c r="H91" s="1" t="str">
        <f>IFERROR(VLOOKUP(F91, [1]BQ25_laptop_data_mod!A:C, 3, FALSE), "no MAC found")</f>
        <v>10-98-19-4A-51-26</v>
      </c>
      <c r="I91" s="1" t="s">
        <v>17</v>
      </c>
      <c r="J91" s="1" t="s">
        <v>18</v>
      </c>
      <c r="K91" s="1">
        <v>2250</v>
      </c>
      <c r="L91" s="3">
        <f>IFERROR(--_xlfn.TEXTBEFORE(Table1[[#This Row],[slot_number]],"-"),9999)</f>
        <v>3</v>
      </c>
      <c r="M91" s="3">
        <f>IFERROR(--_xlfn.TEXTAFTER(Table1[[#This Row],[slot_number]],"-"),9999)</f>
        <v>30</v>
      </c>
    </row>
    <row r="92" spans="1:101" s="3" customFormat="1" x14ac:dyDescent="0.25">
      <c r="A92" s="1">
        <v>283</v>
      </c>
      <c r="B92" s="1" t="str">
        <f t="shared" si="1"/>
        <v>4</v>
      </c>
      <c r="C92" s="2" t="s">
        <v>285</v>
      </c>
      <c r="D92" s="1" t="s">
        <v>14</v>
      </c>
      <c r="E92" s="1" t="s">
        <v>286</v>
      </c>
      <c r="F92" s="1" t="str">
        <f>SUBSTITUTE(Table1[[#This Row],[asset_tag]], "-", "")</f>
        <v>DDC4CY002523</v>
      </c>
      <c r="G92" s="1" t="s">
        <v>287</v>
      </c>
      <c r="H92" s="1" t="str">
        <f>IFERROR(VLOOKUP(F92, [1]BQ25_laptop_data_mod!A:C, 3, FALSE), "no MAC found")</f>
        <v>10-98-19-4A-51-FD</v>
      </c>
      <c r="I92" s="1" t="s">
        <v>17</v>
      </c>
      <c r="J92" s="1" t="s">
        <v>18</v>
      </c>
      <c r="K92" s="1">
        <v>2250</v>
      </c>
      <c r="L92" s="3">
        <f>IFERROR(--_xlfn.TEXTBEFORE(Table1[[#This Row],[slot_number]],"-"),9999)</f>
        <v>4</v>
      </c>
      <c r="M92" s="3">
        <f>IFERROR(--_xlfn.TEXTAFTER(Table1[[#This Row],[slot_number]],"-"),9999)</f>
        <v>1</v>
      </c>
      <c r="CV92" s="5"/>
      <c r="CW92" s="5"/>
    </row>
    <row r="93" spans="1:101" s="3" customFormat="1" x14ac:dyDescent="0.25">
      <c r="A93" s="1">
        <v>283</v>
      </c>
      <c r="B93" s="1" t="str">
        <f t="shared" si="1"/>
        <v>4</v>
      </c>
      <c r="C93" s="2" t="s">
        <v>288</v>
      </c>
      <c r="D93" s="1" t="s">
        <v>14</v>
      </c>
      <c r="E93" s="1" t="s">
        <v>289</v>
      </c>
      <c r="F93" s="1" t="str">
        <f>SUBSTITUTE(Table1[[#This Row],[asset_tag]], "-", "")</f>
        <v>DDC4CY002589</v>
      </c>
      <c r="G93" s="1" t="s">
        <v>290</v>
      </c>
      <c r="H93" s="1" t="str">
        <f>IFERROR(VLOOKUP(F93, [1]BQ25_laptop_data_mod!A:C, 3, FALSE), "no MAC found")</f>
        <v>10-98-19-4A-51-1A</v>
      </c>
      <c r="I93" s="1" t="s">
        <v>17</v>
      </c>
      <c r="J93" s="1" t="s">
        <v>18</v>
      </c>
      <c r="K93" s="1">
        <v>2250</v>
      </c>
      <c r="L93" s="3">
        <f>IFERROR(--_xlfn.TEXTBEFORE(Table1[[#This Row],[slot_number]],"-"),9999)</f>
        <v>4</v>
      </c>
      <c r="M93" s="3">
        <f>IFERROR(--_xlfn.TEXTAFTER(Table1[[#This Row],[slot_number]],"-"),9999)</f>
        <v>2</v>
      </c>
    </row>
    <row r="94" spans="1:101" s="3" customFormat="1" x14ac:dyDescent="0.25">
      <c r="A94" s="1">
        <v>283</v>
      </c>
      <c r="B94" s="1" t="str">
        <f t="shared" si="1"/>
        <v>4</v>
      </c>
      <c r="C94" s="2" t="s">
        <v>291</v>
      </c>
      <c r="D94" s="1" t="s">
        <v>14</v>
      </c>
      <c r="E94" s="1" t="s">
        <v>292</v>
      </c>
      <c r="F94" s="1" t="str">
        <f>SUBSTITUTE(Table1[[#This Row],[asset_tag]], "-", "")</f>
        <v>DDC4CY002591</v>
      </c>
      <c r="G94" s="1" t="s">
        <v>293</v>
      </c>
      <c r="H94" s="1" t="str">
        <f>IFERROR(VLOOKUP(F94, [1]BQ25_laptop_data_mod!A:C, 3, FALSE), "no MAC found")</f>
        <v>10-98-19-4A-50-EC</v>
      </c>
      <c r="I94" s="1" t="s">
        <v>17</v>
      </c>
      <c r="J94" s="1" t="s">
        <v>18</v>
      </c>
      <c r="K94" s="1">
        <v>2250</v>
      </c>
      <c r="L94" s="3">
        <f>IFERROR(--_xlfn.TEXTBEFORE(Table1[[#This Row],[slot_number]],"-"),9999)</f>
        <v>4</v>
      </c>
      <c r="M94" s="3">
        <f>IFERROR(--_xlfn.TEXTAFTER(Table1[[#This Row],[slot_number]],"-"),9999)</f>
        <v>3</v>
      </c>
      <c r="CV94" s="5"/>
      <c r="CW94" s="5"/>
    </row>
    <row r="95" spans="1:101" s="3" customFormat="1" x14ac:dyDescent="0.25">
      <c r="A95" s="1">
        <v>283</v>
      </c>
      <c r="B95" s="1" t="str">
        <f t="shared" si="1"/>
        <v>4</v>
      </c>
      <c r="C95" s="2" t="s">
        <v>294</v>
      </c>
      <c r="D95" s="1" t="s">
        <v>14</v>
      </c>
      <c r="E95" s="1" t="s">
        <v>295</v>
      </c>
      <c r="F95" s="1" t="str">
        <f>SUBSTITUTE(Table1[[#This Row],[asset_tag]], "-", "")</f>
        <v>DDC4CY002633</v>
      </c>
      <c r="G95" s="1" t="s">
        <v>296</v>
      </c>
      <c r="H95" s="1" t="str">
        <f>IFERROR(VLOOKUP(F95, [1]BQ25_laptop_data_mod!A:C, 3, FALSE), "no MAC found")</f>
        <v>10-98-19-4A-52-B6</v>
      </c>
      <c r="I95" s="1" t="s">
        <v>17</v>
      </c>
      <c r="J95" s="1" t="s">
        <v>18</v>
      </c>
      <c r="K95" s="1">
        <v>2250</v>
      </c>
      <c r="L95" s="3">
        <f>IFERROR(--_xlfn.TEXTBEFORE(Table1[[#This Row],[slot_number]],"-"),9999)</f>
        <v>4</v>
      </c>
      <c r="M95" s="3">
        <f>IFERROR(--_xlfn.TEXTAFTER(Table1[[#This Row],[slot_number]],"-"),9999)</f>
        <v>4</v>
      </c>
    </row>
    <row r="96" spans="1:101" s="3" customFormat="1" x14ac:dyDescent="0.25">
      <c r="A96" s="1">
        <v>283</v>
      </c>
      <c r="B96" s="1" t="str">
        <f t="shared" si="1"/>
        <v>4</v>
      </c>
      <c r="C96" s="2" t="s">
        <v>297</v>
      </c>
      <c r="D96" s="1" t="s">
        <v>14</v>
      </c>
      <c r="E96" s="1" t="s">
        <v>298</v>
      </c>
      <c r="F96" s="1" t="str">
        <f>SUBSTITUTE(Table1[[#This Row],[asset_tag]], "-", "")</f>
        <v>DDC4CY002672</v>
      </c>
      <c r="G96" s="1" t="s">
        <v>299</v>
      </c>
      <c r="H96" s="1" t="str">
        <f>IFERROR(VLOOKUP(F96, [1]BQ25_laptop_data_mod!A:C, 3, FALSE), "no MAC found")</f>
        <v>10-98-19-4A-50-BC</v>
      </c>
      <c r="I96" s="1" t="s">
        <v>17</v>
      </c>
      <c r="J96" s="1" t="s">
        <v>18</v>
      </c>
      <c r="K96" s="1">
        <v>2250</v>
      </c>
      <c r="L96" s="3">
        <f>IFERROR(--_xlfn.TEXTBEFORE(Table1[[#This Row],[slot_number]],"-"),9999)</f>
        <v>4</v>
      </c>
      <c r="M96" s="3">
        <f>IFERROR(--_xlfn.TEXTAFTER(Table1[[#This Row],[slot_number]],"-"),9999)</f>
        <v>5</v>
      </c>
    </row>
    <row r="97" spans="1:101" s="3" customFormat="1" x14ac:dyDescent="0.25">
      <c r="A97" s="1">
        <v>283</v>
      </c>
      <c r="B97" s="1" t="str">
        <f t="shared" si="1"/>
        <v>4</v>
      </c>
      <c r="C97" s="2" t="s">
        <v>300</v>
      </c>
      <c r="D97" s="1" t="s">
        <v>14</v>
      </c>
      <c r="E97" s="1" t="s">
        <v>301</v>
      </c>
      <c r="F97" s="1" t="str">
        <f>SUBSTITUTE(Table1[[#This Row],[asset_tag]], "-", "")</f>
        <v>DDC4CY002680</v>
      </c>
      <c r="G97" s="1" t="s">
        <v>302</v>
      </c>
      <c r="H97" s="1" t="str">
        <f>IFERROR(VLOOKUP(F97, [1]BQ25_laptop_data_mod!A:C, 3, FALSE), "no MAC found")</f>
        <v>10-98-19-4A-67-6A</v>
      </c>
      <c r="I97" s="1" t="s">
        <v>17</v>
      </c>
      <c r="J97" s="1" t="s">
        <v>18</v>
      </c>
      <c r="K97" s="1">
        <v>2250</v>
      </c>
      <c r="L97" s="3">
        <f>IFERROR(--_xlfn.TEXTBEFORE(Table1[[#This Row],[slot_number]],"-"),9999)</f>
        <v>4</v>
      </c>
      <c r="M97" s="3">
        <f>IFERROR(--_xlfn.TEXTAFTER(Table1[[#This Row],[slot_number]],"-"),9999)</f>
        <v>6</v>
      </c>
    </row>
    <row r="98" spans="1:101" s="3" customFormat="1" x14ac:dyDescent="0.25">
      <c r="A98" s="1">
        <v>283</v>
      </c>
      <c r="B98" s="1" t="str">
        <f t="shared" si="1"/>
        <v>4</v>
      </c>
      <c r="C98" s="2" t="s">
        <v>303</v>
      </c>
      <c r="D98" s="1" t="s">
        <v>14</v>
      </c>
      <c r="E98" s="1" t="s">
        <v>304</v>
      </c>
      <c r="F98" s="1" t="str">
        <f>SUBSTITUTE(Table1[[#This Row],[asset_tag]], "-", "")</f>
        <v>DDC4CY002646</v>
      </c>
      <c r="G98" s="1" t="s">
        <v>305</v>
      </c>
      <c r="H98" s="1" t="str">
        <f>IFERROR(VLOOKUP(F98, [1]BQ25_laptop_data_mod!A:C, 3, FALSE), "no MAC found")</f>
        <v>10-98-19-4A-52-C0</v>
      </c>
      <c r="I98" s="1" t="s">
        <v>17</v>
      </c>
      <c r="J98" s="1" t="s">
        <v>18</v>
      </c>
      <c r="K98" s="1">
        <v>2250</v>
      </c>
      <c r="L98" s="3">
        <f>IFERROR(--_xlfn.TEXTBEFORE(Table1[[#This Row],[slot_number]],"-"),9999)</f>
        <v>4</v>
      </c>
      <c r="M98" s="3">
        <f>IFERROR(--_xlfn.TEXTAFTER(Table1[[#This Row],[slot_number]],"-"),9999)</f>
        <v>7</v>
      </c>
    </row>
    <row r="99" spans="1:101" s="5" customFormat="1" x14ac:dyDescent="0.25">
      <c r="A99" s="1">
        <v>283</v>
      </c>
      <c r="B99" s="1" t="str">
        <f t="shared" si="1"/>
        <v>4</v>
      </c>
      <c r="C99" s="2" t="s">
        <v>306</v>
      </c>
      <c r="D99" s="1" t="s">
        <v>14</v>
      </c>
      <c r="E99" s="1" t="s">
        <v>307</v>
      </c>
      <c r="F99" s="1" t="str">
        <f>SUBSTITUTE(Table1[[#This Row],[asset_tag]], "-", "")</f>
        <v>DDC4CY002571</v>
      </c>
      <c r="G99" s="1" t="s">
        <v>308</v>
      </c>
      <c r="H99" s="1" t="str">
        <f>IFERROR(VLOOKUP(F99, [1]BQ25_laptop_data_mod!A:C, 3, FALSE), "no MAC found")</f>
        <v>10-98-19-4A-50-F8</v>
      </c>
      <c r="I99" s="1" t="s">
        <v>17</v>
      </c>
      <c r="J99" s="1" t="s">
        <v>18</v>
      </c>
      <c r="K99" s="1">
        <v>2250</v>
      </c>
      <c r="L99" s="3">
        <f>IFERROR(--_xlfn.TEXTBEFORE(Table1[[#This Row],[slot_number]],"-"),9999)</f>
        <v>4</v>
      </c>
      <c r="M99" s="3">
        <f>IFERROR(--_xlfn.TEXTAFTER(Table1[[#This Row],[slot_number]],"-"),9999)</f>
        <v>8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U99" s="3"/>
      <c r="CV99" s="3"/>
      <c r="CW99" s="3"/>
    </row>
    <row r="100" spans="1:101" s="3" customFormat="1" x14ac:dyDescent="0.25">
      <c r="A100" s="1">
        <v>283</v>
      </c>
      <c r="B100" s="1" t="str">
        <f t="shared" si="1"/>
        <v>4</v>
      </c>
      <c r="C100" s="2" t="s">
        <v>309</v>
      </c>
      <c r="D100" s="1" t="s">
        <v>14</v>
      </c>
      <c r="E100" s="1" t="s">
        <v>310</v>
      </c>
      <c r="F100" s="1" t="str">
        <f>SUBSTITUTE(Table1[[#This Row],[asset_tag]], "-", "")</f>
        <v>DDC4CY002772</v>
      </c>
      <c r="G100" s="1" t="s">
        <v>311</v>
      </c>
      <c r="H100" s="1" t="str">
        <f>IFERROR(VLOOKUP(F100, [1]BQ25_laptop_data_mod!A:C, 3, FALSE), "no MAC found")</f>
        <v>AC-B4-80-45-6B-76</v>
      </c>
      <c r="I100" s="1" t="s">
        <v>17</v>
      </c>
      <c r="J100" s="1" t="s">
        <v>18</v>
      </c>
      <c r="K100" s="1">
        <v>2335</v>
      </c>
      <c r="L100" s="3">
        <f>IFERROR(--_xlfn.TEXTBEFORE(Table1[[#This Row],[slot_number]],"-"),9999)</f>
        <v>4</v>
      </c>
      <c r="M100" s="3">
        <f>IFERROR(--_xlfn.TEXTAFTER(Table1[[#This Row],[slot_number]],"-"),9999)</f>
        <v>9</v>
      </c>
    </row>
    <row r="101" spans="1:101" s="3" customFormat="1" x14ac:dyDescent="0.25">
      <c r="A101" s="1">
        <v>283</v>
      </c>
      <c r="B101" s="1" t="str">
        <f t="shared" si="1"/>
        <v>4</v>
      </c>
      <c r="C101" s="2" t="s">
        <v>312</v>
      </c>
      <c r="D101" s="1" t="s">
        <v>14</v>
      </c>
      <c r="E101" s="1" t="s">
        <v>313</v>
      </c>
      <c r="F101" s="1" t="str">
        <f>SUBSTITUTE(Table1[[#This Row],[asset_tag]], "-", "")</f>
        <v>DDC4CY002535</v>
      </c>
      <c r="G101" s="1" t="s">
        <v>314</v>
      </c>
      <c r="H101" s="1" t="str">
        <f>IFERROR(VLOOKUP(F101, [1]BQ25_laptop_data_mod!A:C, 3, FALSE), "no MAC found")</f>
        <v>10-98-19-4A-51-16</v>
      </c>
      <c r="I101" s="1" t="s">
        <v>17</v>
      </c>
      <c r="J101" s="1" t="s">
        <v>18</v>
      </c>
      <c r="K101" s="1">
        <v>2250</v>
      </c>
      <c r="L101" s="3">
        <f>IFERROR(--_xlfn.TEXTBEFORE(Table1[[#This Row],[slot_number]],"-"),9999)</f>
        <v>4</v>
      </c>
      <c r="M101" s="3">
        <f>IFERROR(--_xlfn.TEXTAFTER(Table1[[#This Row],[slot_number]],"-"),9999)</f>
        <v>10</v>
      </c>
    </row>
    <row r="102" spans="1:101" s="3" customFormat="1" x14ac:dyDescent="0.25">
      <c r="A102" s="1">
        <v>283</v>
      </c>
      <c r="B102" s="1" t="str">
        <f t="shared" si="1"/>
        <v>4</v>
      </c>
      <c r="C102" s="2" t="s">
        <v>315</v>
      </c>
      <c r="D102" s="1" t="s">
        <v>14</v>
      </c>
      <c r="E102" s="1" t="s">
        <v>316</v>
      </c>
      <c r="F102" s="1" t="str">
        <f>SUBSTITUTE(Table1[[#This Row],[asset_tag]], "-", "")</f>
        <v>DDC4CY002584</v>
      </c>
      <c r="G102" s="1" t="s">
        <v>317</v>
      </c>
      <c r="H102" s="1" t="str">
        <f>IFERROR(VLOOKUP(F102, [1]BQ25_laptop_data_mod!A:C, 3, FALSE), "no MAC found")</f>
        <v>10-98-19-4A-52-9B</v>
      </c>
      <c r="I102" s="1" t="s">
        <v>17</v>
      </c>
      <c r="J102" s="1" t="s">
        <v>18</v>
      </c>
      <c r="K102" s="1">
        <v>2250</v>
      </c>
      <c r="L102" s="3">
        <f>IFERROR(--_xlfn.TEXTBEFORE(Table1[[#This Row],[slot_number]],"-"),9999)</f>
        <v>4</v>
      </c>
      <c r="M102" s="3">
        <f>IFERROR(--_xlfn.TEXTAFTER(Table1[[#This Row],[slot_number]],"-"),9999)</f>
        <v>11</v>
      </c>
      <c r="CV102" s="9"/>
      <c r="CW102" s="9"/>
    </row>
    <row r="103" spans="1:101" s="3" customFormat="1" x14ac:dyDescent="0.25">
      <c r="A103" s="1">
        <v>283</v>
      </c>
      <c r="B103" s="1" t="str">
        <f t="shared" si="1"/>
        <v>4</v>
      </c>
      <c r="C103" s="2" t="s">
        <v>318</v>
      </c>
      <c r="D103" s="1" t="s">
        <v>14</v>
      </c>
      <c r="E103" s="1" t="s">
        <v>319</v>
      </c>
      <c r="F103" s="1" t="str">
        <f>SUBSTITUTE(Table1[[#This Row],[asset_tag]], "-", "")</f>
        <v>DDC4CY002609</v>
      </c>
      <c r="G103" s="1" t="s">
        <v>320</v>
      </c>
      <c r="H103" s="1" t="str">
        <f>IFERROR(VLOOKUP(F103, [1]BQ25_laptop_data_mod!A:C, 3, FALSE), "no MAC found")</f>
        <v>10-98-19-4A-51-E0</v>
      </c>
      <c r="I103" s="1" t="s">
        <v>17</v>
      </c>
      <c r="J103" s="1" t="s">
        <v>18</v>
      </c>
      <c r="K103" s="1">
        <v>2250</v>
      </c>
      <c r="L103" s="3">
        <f>IFERROR(--_xlfn.TEXTBEFORE(Table1[[#This Row],[slot_number]],"-"),9999)</f>
        <v>4</v>
      </c>
      <c r="M103" s="3">
        <f>IFERROR(--_xlfn.TEXTAFTER(Table1[[#This Row],[slot_number]],"-"),9999)</f>
        <v>12</v>
      </c>
    </row>
    <row r="104" spans="1:101" s="3" customFormat="1" x14ac:dyDescent="0.25">
      <c r="A104" s="1">
        <v>283</v>
      </c>
      <c r="B104" s="1" t="str">
        <f t="shared" si="1"/>
        <v>4</v>
      </c>
      <c r="C104" s="2" t="s">
        <v>321</v>
      </c>
      <c r="D104" s="1" t="s">
        <v>14</v>
      </c>
      <c r="E104" s="1" t="s">
        <v>322</v>
      </c>
      <c r="F104" s="1" t="str">
        <f>SUBSTITUTE(Table1[[#This Row],[asset_tag]], "-", "")</f>
        <v>DDC4CY002509</v>
      </c>
      <c r="G104" s="1" t="s">
        <v>323</v>
      </c>
      <c r="H104" s="1" t="str">
        <f>IFERROR(VLOOKUP(F104, [1]BQ25_laptop_data_mod!A:C, 3, FALSE), "no MAC found")</f>
        <v>10-98-19-4A-52-87</v>
      </c>
      <c r="I104" s="1" t="s">
        <v>17</v>
      </c>
      <c r="J104" s="1" t="s">
        <v>18</v>
      </c>
      <c r="K104" s="1">
        <v>2250</v>
      </c>
      <c r="L104" s="3">
        <f>IFERROR(--_xlfn.TEXTBEFORE(Table1[[#This Row],[slot_number]],"-"),9999)</f>
        <v>4</v>
      </c>
      <c r="M104" s="3">
        <f>IFERROR(--_xlfn.TEXTAFTER(Table1[[#This Row],[slot_number]],"-"),9999)</f>
        <v>13</v>
      </c>
    </row>
    <row r="105" spans="1:101" s="3" customFormat="1" x14ac:dyDescent="0.25">
      <c r="A105" s="1">
        <v>283</v>
      </c>
      <c r="B105" s="1" t="str">
        <f t="shared" si="1"/>
        <v>4</v>
      </c>
      <c r="C105" s="2" t="s">
        <v>324</v>
      </c>
      <c r="D105" s="1" t="s">
        <v>14</v>
      </c>
      <c r="E105" s="1" t="s">
        <v>325</v>
      </c>
      <c r="F105" s="1" t="str">
        <f>SUBSTITUTE(Table1[[#This Row],[asset_tag]], "-", "")</f>
        <v>DDC4CY002639</v>
      </c>
      <c r="G105" s="1" t="s">
        <v>326</v>
      </c>
      <c r="H105" s="1" t="str">
        <f>IFERROR(VLOOKUP(F105, [1]BQ25_laptop_data_mod!A:C, 3, FALSE), "no MAC found")</f>
        <v>10-98-19-4A-52-0A</v>
      </c>
      <c r="I105" s="1" t="s">
        <v>17</v>
      </c>
      <c r="J105" s="1" t="s">
        <v>18</v>
      </c>
      <c r="K105" s="1">
        <v>2250</v>
      </c>
      <c r="L105" s="3">
        <f>IFERROR(--_xlfn.TEXTBEFORE(Table1[[#This Row],[slot_number]],"-"),9999)</f>
        <v>4</v>
      </c>
      <c r="M105" s="3">
        <f>IFERROR(--_xlfn.TEXTAFTER(Table1[[#This Row],[slot_number]],"-"),9999)</f>
        <v>14</v>
      </c>
      <c r="CV105" s="5"/>
      <c r="CW105" s="5"/>
    </row>
    <row r="106" spans="1:101" s="3" customFormat="1" ht="13.5" customHeight="1" x14ac:dyDescent="0.25">
      <c r="A106" s="1">
        <v>283</v>
      </c>
      <c r="B106" s="1" t="str">
        <f t="shared" si="1"/>
        <v>4</v>
      </c>
      <c r="C106" s="2" t="s">
        <v>327</v>
      </c>
      <c r="D106" s="1" t="s">
        <v>14</v>
      </c>
      <c r="E106" s="1" t="s">
        <v>328</v>
      </c>
      <c r="F106" s="1" t="str">
        <f>SUBSTITUTE(Table1[[#This Row],[asset_tag]], "-", "")</f>
        <v>DDC4CY002514</v>
      </c>
      <c r="G106" s="1" t="s">
        <v>329</v>
      </c>
      <c r="H106" s="1" t="str">
        <f>IFERROR(VLOOKUP(F106, [1]BQ25_laptop_data_mod!A:C, 3, FALSE), "no MAC found")</f>
        <v>10-98-19-4A-65-37</v>
      </c>
      <c r="I106" s="1" t="s">
        <v>17</v>
      </c>
      <c r="J106" s="1" t="s">
        <v>18</v>
      </c>
      <c r="K106" s="1">
        <v>2250</v>
      </c>
      <c r="L106" s="3">
        <f>IFERROR(--_xlfn.TEXTBEFORE(Table1[[#This Row],[slot_number]],"-"),9999)</f>
        <v>4</v>
      </c>
      <c r="M106" s="3">
        <f>IFERROR(--_xlfn.TEXTAFTER(Table1[[#This Row],[slot_number]],"-"),9999)</f>
        <v>15</v>
      </c>
    </row>
    <row r="107" spans="1:101" s="3" customFormat="1" x14ac:dyDescent="0.25">
      <c r="A107" s="1">
        <v>283</v>
      </c>
      <c r="B107" s="1" t="str">
        <f t="shared" si="1"/>
        <v>4</v>
      </c>
      <c r="C107" s="2" t="s">
        <v>330</v>
      </c>
      <c r="D107" s="1" t="s">
        <v>14</v>
      </c>
      <c r="E107" s="1" t="s">
        <v>331</v>
      </c>
      <c r="F107" s="1" t="str">
        <f>SUBSTITUTE(Table1[[#This Row],[asset_tag]], "-", "")</f>
        <v>DDC4CY002512</v>
      </c>
      <c r="G107" s="1" t="s">
        <v>332</v>
      </c>
      <c r="H107" s="1" t="str">
        <f>IFERROR(VLOOKUP(F107, [1]BQ25_laptop_data_mod!A:C, 3, FALSE), "no MAC found")</f>
        <v>10-98-19-4A-52-BC</v>
      </c>
      <c r="I107" s="1" t="s">
        <v>17</v>
      </c>
      <c r="J107" s="1" t="s">
        <v>18</v>
      </c>
      <c r="K107" s="1">
        <v>2250</v>
      </c>
      <c r="L107" s="3">
        <f>IFERROR(--_xlfn.TEXTBEFORE(Table1[[#This Row],[slot_number]],"-"),9999)</f>
        <v>4</v>
      </c>
      <c r="M107" s="3">
        <f>IFERROR(--_xlfn.TEXTAFTER(Table1[[#This Row],[slot_number]],"-"),9999)</f>
        <v>16</v>
      </c>
      <c r="CT107" s="8"/>
      <c r="CV107" s="7"/>
      <c r="CW107" s="7"/>
    </row>
    <row r="108" spans="1:101" s="3" customFormat="1" x14ac:dyDescent="0.25">
      <c r="A108" s="1">
        <v>283</v>
      </c>
      <c r="B108" s="1" t="str">
        <f t="shared" si="1"/>
        <v>4</v>
      </c>
      <c r="C108" s="2" t="s">
        <v>333</v>
      </c>
      <c r="D108" s="1" t="s">
        <v>14</v>
      </c>
      <c r="E108" s="1" t="s">
        <v>334</v>
      </c>
      <c r="F108" s="1" t="str">
        <f>SUBSTITUTE(Table1[[#This Row],[asset_tag]], "-", "")</f>
        <v>DDC4CY002590</v>
      </c>
      <c r="G108" s="1" t="s">
        <v>335</v>
      </c>
      <c r="H108" s="1" t="str">
        <f>IFERROR(VLOOKUP(F108, [1]BQ25_laptop_data_mod!A:C, 3, FALSE), "no MAC found")</f>
        <v>10-98-19-4A-53-02</v>
      </c>
      <c r="I108" s="1" t="s">
        <v>17</v>
      </c>
      <c r="J108" s="1" t="s">
        <v>18</v>
      </c>
      <c r="K108" s="1">
        <v>2250</v>
      </c>
      <c r="L108" s="3">
        <f>IFERROR(--_xlfn.TEXTBEFORE(Table1[[#This Row],[slot_number]],"-"),9999)</f>
        <v>4</v>
      </c>
      <c r="M108" s="3">
        <f>IFERROR(--_xlfn.TEXTAFTER(Table1[[#This Row],[slot_number]],"-"),9999)</f>
        <v>17</v>
      </c>
    </row>
    <row r="109" spans="1:101" s="3" customFormat="1" x14ac:dyDescent="0.25">
      <c r="A109" s="1">
        <v>283</v>
      </c>
      <c r="B109" s="1" t="str">
        <f t="shared" si="1"/>
        <v>4</v>
      </c>
      <c r="C109" s="2" t="s">
        <v>336</v>
      </c>
      <c r="D109" s="1" t="s">
        <v>14</v>
      </c>
      <c r="E109" s="1" t="s">
        <v>337</v>
      </c>
      <c r="F109" s="1" t="str">
        <f>SUBSTITUTE(Table1[[#This Row],[asset_tag]], "-", "")</f>
        <v>DDC4CY002569</v>
      </c>
      <c r="G109" s="1" t="s">
        <v>338</v>
      </c>
      <c r="H109" s="1" t="str">
        <f>IFERROR(VLOOKUP(F109, [1]BQ25_laptop_data_mod!A:C, 3, FALSE), "no MAC found")</f>
        <v>10-98-19-4A-50-B3</v>
      </c>
      <c r="I109" s="1" t="s">
        <v>17</v>
      </c>
      <c r="J109" s="1" t="s">
        <v>18</v>
      </c>
      <c r="K109" s="1">
        <v>2250</v>
      </c>
      <c r="L109" s="3">
        <f>IFERROR(--_xlfn.TEXTBEFORE(Table1[[#This Row],[slot_number]],"-"),9999)</f>
        <v>4</v>
      </c>
      <c r="M109" s="3">
        <f>IFERROR(--_xlfn.TEXTAFTER(Table1[[#This Row],[slot_number]],"-"),9999)</f>
        <v>18</v>
      </c>
      <c r="CV109" s="7"/>
      <c r="CW109" s="7"/>
    </row>
    <row r="110" spans="1:101" s="3" customFormat="1" x14ac:dyDescent="0.25">
      <c r="A110" s="1">
        <v>283</v>
      </c>
      <c r="B110" s="1" t="str">
        <f t="shared" si="1"/>
        <v>4</v>
      </c>
      <c r="C110" s="2" t="s">
        <v>339</v>
      </c>
      <c r="D110" s="1" t="s">
        <v>14</v>
      </c>
      <c r="E110" s="1" t="s">
        <v>340</v>
      </c>
      <c r="F110" s="1" t="str">
        <f>SUBSTITUTE(Table1[[#This Row],[asset_tag]], "-", "")</f>
        <v>DDC4CY002551</v>
      </c>
      <c r="G110" s="1" t="s">
        <v>341</v>
      </c>
      <c r="H110" s="1" t="str">
        <f>IFERROR(VLOOKUP(F110, [1]BQ25_laptop_data_mod!A:C, 3, FALSE), "no MAC found")</f>
        <v>10-98-19-4A-51-9E</v>
      </c>
      <c r="I110" s="1" t="s">
        <v>17</v>
      </c>
      <c r="J110" s="1" t="s">
        <v>18</v>
      </c>
      <c r="K110" s="1">
        <v>2250</v>
      </c>
      <c r="L110" s="3">
        <f>IFERROR(--_xlfn.TEXTBEFORE(Table1[[#This Row],[slot_number]],"-"),9999)</f>
        <v>4</v>
      </c>
      <c r="M110" s="3">
        <f>IFERROR(--_xlfn.TEXTAFTER(Table1[[#This Row],[slot_number]],"-"),9999)</f>
        <v>19</v>
      </c>
      <c r="CV110" s="5"/>
      <c r="CW110" s="5"/>
    </row>
    <row r="111" spans="1:101" s="3" customFormat="1" x14ac:dyDescent="0.25">
      <c r="A111" s="1">
        <v>283</v>
      </c>
      <c r="B111" s="1" t="str">
        <f t="shared" si="1"/>
        <v>4</v>
      </c>
      <c r="C111" s="2" t="s">
        <v>342</v>
      </c>
      <c r="D111" s="1" t="s">
        <v>14</v>
      </c>
      <c r="E111" s="1" t="s">
        <v>343</v>
      </c>
      <c r="F111" s="1" t="str">
        <f>SUBSTITUTE(Table1[[#This Row],[asset_tag]], "-", "")</f>
        <v>DDC4CY002580</v>
      </c>
      <c r="G111" s="1" t="s">
        <v>344</v>
      </c>
      <c r="H111" s="1" t="str">
        <f>IFERROR(VLOOKUP(F111, [1]BQ25_laptop_data_mod!A:C, 3, FALSE), "no MAC found")</f>
        <v>10-98-19-4A-50-F6</v>
      </c>
      <c r="I111" s="1" t="s">
        <v>17</v>
      </c>
      <c r="J111" s="1" t="s">
        <v>18</v>
      </c>
      <c r="K111" s="1">
        <v>2250</v>
      </c>
      <c r="L111" s="3">
        <f>IFERROR(--_xlfn.TEXTBEFORE(Table1[[#This Row],[slot_number]],"-"),9999)</f>
        <v>4</v>
      </c>
      <c r="M111" s="3">
        <f>IFERROR(--_xlfn.TEXTAFTER(Table1[[#This Row],[slot_number]],"-"),9999)</f>
        <v>20</v>
      </c>
      <c r="CV111" s="7"/>
      <c r="CW111" s="7"/>
    </row>
    <row r="112" spans="1:101" s="3" customFormat="1" x14ac:dyDescent="0.25">
      <c r="A112" s="1">
        <v>283</v>
      </c>
      <c r="B112" s="1" t="str">
        <f t="shared" si="1"/>
        <v>4</v>
      </c>
      <c r="C112" s="2" t="s">
        <v>345</v>
      </c>
      <c r="D112" s="1" t="s">
        <v>14</v>
      </c>
      <c r="E112" s="1" t="s">
        <v>346</v>
      </c>
      <c r="F112" s="1" t="str">
        <f>SUBSTITUTE(Table1[[#This Row],[asset_tag]], "-", "")</f>
        <v>DDC4CY002542</v>
      </c>
      <c r="G112" s="1" t="s">
        <v>347</v>
      </c>
      <c r="H112" s="1" t="str">
        <f>IFERROR(VLOOKUP(F112, [1]BQ25_laptop_data_mod!A:C, 3, FALSE), "no MAC found")</f>
        <v>10-98-19-4A-51-E5</v>
      </c>
      <c r="I112" s="1" t="s">
        <v>17</v>
      </c>
      <c r="J112" s="1" t="s">
        <v>18</v>
      </c>
      <c r="K112" s="1">
        <v>2250</v>
      </c>
      <c r="L112" s="3">
        <f>IFERROR(--_xlfn.TEXTBEFORE(Table1[[#This Row],[slot_number]],"-"),9999)</f>
        <v>4</v>
      </c>
      <c r="M112" s="3">
        <f>IFERROR(--_xlfn.TEXTAFTER(Table1[[#This Row],[slot_number]],"-"),9999)</f>
        <v>21</v>
      </c>
      <c r="CV112" s="8"/>
      <c r="CW112" s="8"/>
    </row>
    <row r="113" spans="1:101" s="3" customFormat="1" x14ac:dyDescent="0.25">
      <c r="A113" s="1">
        <v>283</v>
      </c>
      <c r="B113" s="1" t="str">
        <f t="shared" si="1"/>
        <v>4</v>
      </c>
      <c r="C113" s="2" t="s">
        <v>348</v>
      </c>
      <c r="D113" s="1" t="s">
        <v>14</v>
      </c>
      <c r="E113" s="1" t="s">
        <v>349</v>
      </c>
      <c r="F113" s="1" t="str">
        <f>SUBSTITUTE(Table1[[#This Row],[asset_tag]], "-", "")</f>
        <v>DDC4CY002562</v>
      </c>
      <c r="G113" s="1" t="s">
        <v>350</v>
      </c>
      <c r="H113" s="1" t="str">
        <f>IFERROR(VLOOKUP(F113, [1]BQ25_laptop_data_mod!A:C, 3, FALSE), "no MAC found")</f>
        <v>10-98-19-4A-50-B2</v>
      </c>
      <c r="I113" s="1" t="s">
        <v>17</v>
      </c>
      <c r="J113" s="1" t="s">
        <v>18</v>
      </c>
      <c r="K113" s="1">
        <v>2250</v>
      </c>
      <c r="L113" s="3">
        <f>IFERROR(--_xlfn.TEXTBEFORE(Table1[[#This Row],[slot_number]],"-"),9999)</f>
        <v>4</v>
      </c>
      <c r="M113" s="3">
        <f>IFERROR(--_xlfn.TEXTAFTER(Table1[[#This Row],[slot_number]],"-"),9999)</f>
        <v>22</v>
      </c>
      <c r="CV113" s="7"/>
      <c r="CW113" s="7"/>
    </row>
    <row r="114" spans="1:101" s="3" customFormat="1" x14ac:dyDescent="0.25">
      <c r="A114" s="1">
        <v>283</v>
      </c>
      <c r="B114" s="1" t="str">
        <f t="shared" si="1"/>
        <v>4</v>
      </c>
      <c r="C114" s="2" t="s">
        <v>351</v>
      </c>
      <c r="D114" s="1" t="s">
        <v>14</v>
      </c>
      <c r="E114" s="1" t="s">
        <v>352</v>
      </c>
      <c r="F114" s="1" t="str">
        <f>SUBSTITUTE(Table1[[#This Row],[asset_tag]], "-", "")</f>
        <v>DDC4CY002572</v>
      </c>
      <c r="G114" s="1" t="s">
        <v>353</v>
      </c>
      <c r="H114" s="1" t="str">
        <f>IFERROR(VLOOKUP(F114, [1]BQ25_laptop_data_mod!A:C, 3, FALSE), "no MAC found")</f>
        <v>10-98-19-4A-51-38</v>
      </c>
      <c r="I114" s="1" t="s">
        <v>17</v>
      </c>
      <c r="J114" s="1" t="s">
        <v>18</v>
      </c>
      <c r="K114" s="1">
        <v>2250</v>
      </c>
      <c r="L114" s="3">
        <f>IFERROR(--_xlfn.TEXTBEFORE(Table1[[#This Row],[slot_number]],"-"),9999)</f>
        <v>4</v>
      </c>
      <c r="M114" s="3">
        <f>IFERROR(--_xlfn.TEXTAFTER(Table1[[#This Row],[slot_number]],"-"),9999)</f>
        <v>23</v>
      </c>
    </row>
    <row r="115" spans="1:101" s="3" customFormat="1" x14ac:dyDescent="0.25">
      <c r="A115" s="1">
        <v>283</v>
      </c>
      <c r="B115" s="1" t="str">
        <f t="shared" si="1"/>
        <v>4</v>
      </c>
      <c r="C115" s="2" t="s">
        <v>354</v>
      </c>
      <c r="D115" s="1" t="s">
        <v>14</v>
      </c>
      <c r="E115" s="1" t="s">
        <v>355</v>
      </c>
      <c r="F115" s="1" t="str">
        <f>SUBSTITUTE(Table1[[#This Row],[asset_tag]], "-", "")</f>
        <v>DDC4CY002743</v>
      </c>
      <c r="G115" s="1" t="s">
        <v>356</v>
      </c>
      <c r="H115" s="1" t="str">
        <f>IFERROR(VLOOKUP(F115, [1]BQ25_laptop_data_mod!A:C, 3, FALSE), "no MAC found")</f>
        <v>AC-B4-80-45-6C-59</v>
      </c>
      <c r="I115" s="1" t="s">
        <v>17</v>
      </c>
      <c r="J115" s="1" t="s">
        <v>18</v>
      </c>
      <c r="K115" s="1">
        <v>2335</v>
      </c>
      <c r="L115" s="3">
        <f>IFERROR(--_xlfn.TEXTBEFORE(Table1[[#This Row],[slot_number]],"-"),9999)</f>
        <v>4</v>
      </c>
      <c r="M115" s="3">
        <f>IFERROR(--_xlfn.TEXTAFTER(Table1[[#This Row],[slot_number]],"-"),9999)</f>
        <v>24</v>
      </c>
      <c r="CV115" s="8"/>
      <c r="CW115" s="8"/>
    </row>
    <row r="116" spans="1:101" s="3" customFormat="1" x14ac:dyDescent="0.25">
      <c r="A116" s="1">
        <v>283</v>
      </c>
      <c r="B116" s="1" t="str">
        <f t="shared" si="1"/>
        <v>4</v>
      </c>
      <c r="C116" s="2" t="s">
        <v>357</v>
      </c>
      <c r="D116" s="1" t="s">
        <v>14</v>
      </c>
      <c r="E116" s="1" t="s">
        <v>358</v>
      </c>
      <c r="F116" s="1" t="str">
        <f>SUBSTITUTE(Table1[[#This Row],[asset_tag]], "-", "")</f>
        <v>DDC4CY002597</v>
      </c>
      <c r="G116" s="1" t="s">
        <v>359</v>
      </c>
      <c r="H116" s="1" t="str">
        <f>IFERROR(VLOOKUP(F116, [1]BQ25_laptop_data_mod!A:C, 3, FALSE), "no MAC found")</f>
        <v>10-98-19-4A-51-5B</v>
      </c>
      <c r="I116" s="1" t="s">
        <v>17</v>
      </c>
      <c r="J116" s="1" t="s">
        <v>18</v>
      </c>
      <c r="K116" s="1">
        <v>2250</v>
      </c>
      <c r="L116" s="3">
        <f>IFERROR(--_xlfn.TEXTBEFORE(Table1[[#This Row],[slot_number]],"-"),9999)</f>
        <v>4</v>
      </c>
      <c r="M116" s="3">
        <f>IFERROR(--_xlfn.TEXTAFTER(Table1[[#This Row],[slot_number]],"-"),9999)</f>
        <v>25</v>
      </c>
    </row>
    <row r="117" spans="1:101" s="3" customFormat="1" x14ac:dyDescent="0.25">
      <c r="A117" s="1">
        <v>283</v>
      </c>
      <c r="B117" s="1" t="str">
        <f t="shared" si="1"/>
        <v>4</v>
      </c>
      <c r="C117" s="2" t="s">
        <v>360</v>
      </c>
      <c r="D117" s="1" t="s">
        <v>14</v>
      </c>
      <c r="E117" s="1" t="s">
        <v>361</v>
      </c>
      <c r="F117" s="1" t="str">
        <f>SUBSTITUTE(Table1[[#This Row],[asset_tag]], "-", "")</f>
        <v>DDC4CY002771</v>
      </c>
      <c r="G117" s="1" t="s">
        <v>362</v>
      </c>
      <c r="H117" s="1" t="str">
        <f>IFERROR(VLOOKUP(F117, [1]BQ25_laptop_data_mod!A:C, 3, FALSE), "no MAC found")</f>
        <v>AC-B4-80-45-6B-59</v>
      </c>
      <c r="I117" s="1" t="s">
        <v>17</v>
      </c>
      <c r="J117" s="1" t="s">
        <v>18</v>
      </c>
      <c r="K117" s="1">
        <v>2335</v>
      </c>
      <c r="L117" s="3">
        <f>IFERROR(--_xlfn.TEXTBEFORE(Table1[[#This Row],[slot_number]],"-"),9999)</f>
        <v>4</v>
      </c>
      <c r="M117" s="3">
        <f>IFERROR(--_xlfn.TEXTAFTER(Table1[[#This Row],[slot_number]],"-"),9999)</f>
        <v>26</v>
      </c>
      <c r="CV117" s="8"/>
      <c r="CW117" s="8"/>
    </row>
    <row r="118" spans="1:101" s="3" customFormat="1" x14ac:dyDescent="0.25">
      <c r="A118" s="1">
        <v>283</v>
      </c>
      <c r="B118" s="1" t="str">
        <f t="shared" si="1"/>
        <v>4</v>
      </c>
      <c r="C118" s="2" t="s">
        <v>363</v>
      </c>
      <c r="D118" s="1" t="s">
        <v>14</v>
      </c>
      <c r="E118" s="1" t="s">
        <v>364</v>
      </c>
      <c r="F118" s="1" t="str">
        <f>SUBSTITUTE(Table1[[#This Row],[asset_tag]], "-", "")</f>
        <v>DDC4CY002676</v>
      </c>
      <c r="G118" s="1" t="s">
        <v>365</v>
      </c>
      <c r="H118" s="1" t="str">
        <f>IFERROR(VLOOKUP(F118, [1]BQ25_laptop_data_mod!A:C, 3, FALSE), "no MAC found")</f>
        <v>10-98-19-4A-50-FB</v>
      </c>
      <c r="I118" s="1" t="s">
        <v>17</v>
      </c>
      <c r="J118" s="1" t="s">
        <v>18</v>
      </c>
      <c r="K118" s="1">
        <v>2250</v>
      </c>
      <c r="L118" s="3">
        <f>IFERROR(--_xlfn.TEXTBEFORE(Table1[[#This Row],[slot_number]],"-"),9999)</f>
        <v>4</v>
      </c>
      <c r="M118" s="3">
        <f>IFERROR(--_xlfn.TEXTAFTER(Table1[[#This Row],[slot_number]],"-"),9999)</f>
        <v>27</v>
      </c>
    </row>
    <row r="119" spans="1:101" s="3" customFormat="1" x14ac:dyDescent="0.25">
      <c r="A119" s="1">
        <v>283</v>
      </c>
      <c r="B119" s="1" t="str">
        <f t="shared" si="1"/>
        <v>4</v>
      </c>
      <c r="C119" s="2" t="s">
        <v>366</v>
      </c>
      <c r="D119" s="1" t="s">
        <v>14</v>
      </c>
      <c r="E119" s="1" t="s">
        <v>367</v>
      </c>
      <c r="F119" s="1" t="str">
        <f>SUBSTITUTE(Table1[[#This Row],[asset_tag]], "-", "")</f>
        <v>DDC4CY002587</v>
      </c>
      <c r="G119" s="1" t="s">
        <v>368</v>
      </c>
      <c r="H119" s="1" t="str">
        <f>IFERROR(VLOOKUP(F119, [1]BQ25_laptop_data_mod!A:C, 3, FALSE), "no MAC found")</f>
        <v>10-98-19-4A-52-AE</v>
      </c>
      <c r="I119" s="1" t="s">
        <v>17</v>
      </c>
      <c r="J119" s="1" t="s">
        <v>18</v>
      </c>
      <c r="K119" s="1">
        <v>2250</v>
      </c>
      <c r="L119" s="3">
        <f>IFERROR(--_xlfn.TEXTBEFORE(Table1[[#This Row],[slot_number]],"-"),9999)</f>
        <v>4</v>
      </c>
      <c r="M119" s="3">
        <f>IFERROR(--_xlfn.TEXTAFTER(Table1[[#This Row],[slot_number]],"-"),9999)</f>
        <v>28</v>
      </c>
    </row>
    <row r="120" spans="1:101" s="3" customFormat="1" x14ac:dyDescent="0.25">
      <c r="A120" s="1">
        <v>283</v>
      </c>
      <c r="B120" s="1" t="str">
        <f t="shared" si="1"/>
        <v>4</v>
      </c>
      <c r="C120" s="2" t="s">
        <v>369</v>
      </c>
      <c r="D120" s="1" t="s">
        <v>14</v>
      </c>
      <c r="E120" s="1" t="s">
        <v>370</v>
      </c>
      <c r="F120" s="1" t="str">
        <f>SUBSTITUTE(Table1[[#This Row],[asset_tag]], "-", "")</f>
        <v>DDC4CY002518</v>
      </c>
      <c r="G120" s="1" t="s">
        <v>371</v>
      </c>
      <c r="H120" s="1" t="str">
        <f>IFERROR(VLOOKUP(F120, [1]BQ25_laptop_data_mod!A:C, 3, FALSE), "no MAC found")</f>
        <v>10-98-19-4A-51-34</v>
      </c>
      <c r="I120" s="1" t="s">
        <v>17</v>
      </c>
      <c r="J120" s="1" t="s">
        <v>18</v>
      </c>
      <c r="K120" s="1">
        <v>2250</v>
      </c>
      <c r="L120" s="3">
        <f>IFERROR(--_xlfn.TEXTBEFORE(Table1[[#This Row],[slot_number]],"-"),9999)</f>
        <v>4</v>
      </c>
      <c r="M120" s="3">
        <f>IFERROR(--_xlfn.TEXTAFTER(Table1[[#This Row],[slot_number]],"-"),9999)</f>
        <v>29</v>
      </c>
    </row>
    <row r="121" spans="1:101" s="6" customFormat="1" x14ac:dyDescent="0.25">
      <c r="A121" s="1">
        <v>283</v>
      </c>
      <c r="B121" s="1" t="str">
        <f t="shared" si="1"/>
        <v>4</v>
      </c>
      <c r="C121" s="2" t="s">
        <v>372</v>
      </c>
      <c r="D121" s="1" t="s">
        <v>14</v>
      </c>
      <c r="E121" s="1" t="s">
        <v>373</v>
      </c>
      <c r="F121" s="1" t="str">
        <f>SUBSTITUTE(Table1[[#This Row],[asset_tag]], "-", "")</f>
        <v>DDC4CY002749</v>
      </c>
      <c r="G121" s="1" t="s">
        <v>374</v>
      </c>
      <c r="H121" s="1" t="str">
        <f>IFERROR(VLOOKUP(F121, [1]BQ25_laptop_data_mod!A:C, 3, FALSE), "no MAC found")</f>
        <v>AC-B4-80-45-6A-F9</v>
      </c>
      <c r="I121" s="1" t="s">
        <v>17</v>
      </c>
      <c r="J121" s="1" t="s">
        <v>18</v>
      </c>
      <c r="K121" s="1">
        <v>2335</v>
      </c>
      <c r="L121" s="3">
        <f>IFERROR(--_xlfn.TEXTBEFORE(Table1[[#This Row],[slot_number]],"-"),9999)</f>
        <v>4</v>
      </c>
      <c r="M121" s="3">
        <f>IFERROR(--_xlfn.TEXTAFTER(Table1[[#This Row],[slot_number]],"-"),9999)</f>
        <v>30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</row>
    <row r="122" spans="1:101" s="3" customFormat="1" x14ac:dyDescent="0.25">
      <c r="A122" s="1">
        <v>283</v>
      </c>
      <c r="B122" s="1" t="str">
        <f t="shared" si="1"/>
        <v>5</v>
      </c>
      <c r="C122" s="2" t="s">
        <v>375</v>
      </c>
      <c r="D122" s="1" t="s">
        <v>14</v>
      </c>
      <c r="E122" s="1" t="s">
        <v>376</v>
      </c>
      <c r="F122" s="1" t="str">
        <f>SUBSTITUTE(Table1[[#This Row],[asset_tag]], "-", "")</f>
        <v>DDC4CY002622</v>
      </c>
      <c r="G122" s="1" t="s">
        <v>377</v>
      </c>
      <c r="H122" s="1" t="str">
        <f>IFERROR(VLOOKUP(F122, [1]BQ25_laptop_data_mod!A:C, 3, FALSE), "no MAC found")</f>
        <v>10-98-19-4A-51-D9</v>
      </c>
      <c r="I122" s="1" t="s">
        <v>17</v>
      </c>
      <c r="J122" s="1" t="s">
        <v>18</v>
      </c>
      <c r="K122" s="1">
        <v>2250</v>
      </c>
      <c r="L122" s="3">
        <f>IFERROR(--_xlfn.TEXTBEFORE(Table1[[#This Row],[slot_number]],"-"),9999)</f>
        <v>5</v>
      </c>
      <c r="M122" s="3">
        <f>IFERROR(--_xlfn.TEXTAFTER(Table1[[#This Row],[slot_number]],"-"),9999)</f>
        <v>1</v>
      </c>
    </row>
    <row r="123" spans="1:101" s="3" customFormat="1" x14ac:dyDescent="0.25">
      <c r="A123" s="1">
        <v>283</v>
      </c>
      <c r="B123" s="1" t="str">
        <f t="shared" si="1"/>
        <v>5</v>
      </c>
      <c r="C123" s="2" t="s">
        <v>378</v>
      </c>
      <c r="D123" s="1" t="s">
        <v>14</v>
      </c>
      <c r="E123" s="1" t="s">
        <v>379</v>
      </c>
      <c r="F123" s="1" t="str">
        <f>SUBSTITUTE(Table1[[#This Row],[asset_tag]], "-", "")</f>
        <v>DDC4CY002658</v>
      </c>
      <c r="G123" s="1" t="s">
        <v>380</v>
      </c>
      <c r="H123" s="1" t="str">
        <f>IFERROR(VLOOKUP(F123, [1]BQ25_laptop_data_mod!A:C, 3, FALSE), "no MAC found")</f>
        <v>10-98-19-4A-51-4C</v>
      </c>
      <c r="I123" s="1" t="s">
        <v>17</v>
      </c>
      <c r="J123" s="1" t="s">
        <v>18</v>
      </c>
      <c r="K123" s="1">
        <v>2250</v>
      </c>
      <c r="L123" s="3">
        <f>IFERROR(--_xlfn.TEXTBEFORE(Table1[[#This Row],[slot_number]],"-"),9999)</f>
        <v>5</v>
      </c>
      <c r="M123" s="3">
        <f>IFERROR(--_xlfn.TEXTAFTER(Table1[[#This Row],[slot_number]],"-"),9999)</f>
        <v>2</v>
      </c>
    </row>
    <row r="124" spans="1:101" s="3" customFormat="1" x14ac:dyDescent="0.25">
      <c r="A124" s="1">
        <v>283</v>
      </c>
      <c r="B124" s="1" t="str">
        <f t="shared" si="1"/>
        <v>5</v>
      </c>
      <c r="C124" s="2" t="s">
        <v>381</v>
      </c>
      <c r="D124" s="1" t="s">
        <v>14</v>
      </c>
      <c r="E124" s="1" t="s">
        <v>382</v>
      </c>
      <c r="F124" s="1" t="str">
        <f>SUBSTITUTE(Table1[[#This Row],[asset_tag]], "-", "")</f>
        <v>DDC4CY002759</v>
      </c>
      <c r="G124" s="1" t="s">
        <v>383</v>
      </c>
      <c r="H124" s="1" t="str">
        <f>IFERROR(VLOOKUP(F124, [1]BQ25_laptop_data_mod!A:C, 3, FALSE), "no MAC found")</f>
        <v>AC-B4-80-45-6B-72</v>
      </c>
      <c r="I124" s="1" t="s">
        <v>17</v>
      </c>
      <c r="J124" s="1" t="s">
        <v>18</v>
      </c>
      <c r="K124" s="1">
        <v>2335</v>
      </c>
      <c r="L124" s="3">
        <f>IFERROR(--_xlfn.TEXTBEFORE(Table1[[#This Row],[slot_number]],"-"),9999)</f>
        <v>5</v>
      </c>
      <c r="M124" s="3">
        <f>IFERROR(--_xlfn.TEXTAFTER(Table1[[#This Row],[slot_number]],"-"),9999)</f>
        <v>3</v>
      </c>
    </row>
    <row r="125" spans="1:101" s="3" customFormat="1" x14ac:dyDescent="0.25">
      <c r="A125" s="1">
        <v>283</v>
      </c>
      <c r="B125" s="1" t="str">
        <f t="shared" si="1"/>
        <v>5</v>
      </c>
      <c r="C125" s="2" t="s">
        <v>384</v>
      </c>
      <c r="D125" s="1" t="s">
        <v>14</v>
      </c>
      <c r="E125" s="1" t="s">
        <v>385</v>
      </c>
      <c r="F125" s="1" t="str">
        <f>SUBSTITUTE(Table1[[#This Row],[asset_tag]], "-", "")</f>
        <v>DDC4CY002541</v>
      </c>
      <c r="G125" s="1" t="s">
        <v>386</v>
      </c>
      <c r="H125" s="1" t="str">
        <f>IFERROR(VLOOKUP(F125, [1]BQ25_laptop_data_mod!A:C, 3, FALSE), "no MAC found")</f>
        <v>10-98-19-4A-51-8B</v>
      </c>
      <c r="I125" s="1" t="s">
        <v>17</v>
      </c>
      <c r="J125" s="1" t="s">
        <v>18</v>
      </c>
      <c r="K125" s="1">
        <v>2250</v>
      </c>
      <c r="L125" s="3">
        <f>IFERROR(--_xlfn.TEXTBEFORE(Table1[[#This Row],[slot_number]],"-"),9999)</f>
        <v>5</v>
      </c>
      <c r="M125" s="3">
        <f>IFERROR(--_xlfn.TEXTAFTER(Table1[[#This Row],[slot_number]],"-"),9999)</f>
        <v>4</v>
      </c>
    </row>
    <row r="126" spans="1:101" s="3" customFormat="1" x14ac:dyDescent="0.25">
      <c r="A126" s="1">
        <v>283</v>
      </c>
      <c r="B126" s="1" t="str">
        <f t="shared" si="1"/>
        <v>5</v>
      </c>
      <c r="C126" s="2" t="s">
        <v>387</v>
      </c>
      <c r="D126" s="1" t="s">
        <v>14</v>
      </c>
      <c r="E126" s="1" t="s">
        <v>388</v>
      </c>
      <c r="F126" s="1" t="str">
        <f>SUBSTITUTE(Table1[[#This Row],[asset_tag]], "-", "")</f>
        <v>DDC4CY002671</v>
      </c>
      <c r="G126" s="1" t="s">
        <v>389</v>
      </c>
      <c r="H126" s="1" t="str">
        <f>IFERROR(VLOOKUP(F126, [1]BQ25_laptop_data_mod!A:C, 3, FALSE), "no MAC found")</f>
        <v>10-98-19-4A-51-E1</v>
      </c>
      <c r="I126" s="1" t="s">
        <v>17</v>
      </c>
      <c r="J126" s="1" t="s">
        <v>18</v>
      </c>
      <c r="K126" s="1">
        <v>2250</v>
      </c>
      <c r="L126" s="3">
        <f>IFERROR(--_xlfn.TEXTBEFORE(Table1[[#This Row],[slot_number]],"-"),9999)</f>
        <v>5</v>
      </c>
      <c r="M126" s="3">
        <f>IFERROR(--_xlfn.TEXTAFTER(Table1[[#This Row],[slot_number]],"-"),9999)</f>
        <v>5</v>
      </c>
    </row>
    <row r="127" spans="1:101" s="3" customFormat="1" x14ac:dyDescent="0.25">
      <c r="A127" s="1">
        <v>283</v>
      </c>
      <c r="B127" s="1" t="str">
        <f t="shared" si="1"/>
        <v>5</v>
      </c>
      <c r="C127" s="2" t="s">
        <v>390</v>
      </c>
      <c r="D127" s="1" t="s">
        <v>14</v>
      </c>
      <c r="E127" s="1" t="s">
        <v>391</v>
      </c>
      <c r="F127" s="1" t="str">
        <f>SUBSTITUTE(Table1[[#This Row],[asset_tag]], "-", "")</f>
        <v>DDC4CY002652</v>
      </c>
      <c r="G127" s="1" t="s">
        <v>392</v>
      </c>
      <c r="H127" s="1" t="str">
        <f>IFERROR(VLOOKUP(F127, [1]BQ25_laptop_data_mod!A:C, 3, FALSE), "no MAC found")</f>
        <v>10-98-19-4A-65-72</v>
      </c>
      <c r="I127" s="1" t="s">
        <v>17</v>
      </c>
      <c r="J127" s="1" t="s">
        <v>18</v>
      </c>
      <c r="K127" s="1">
        <v>2250</v>
      </c>
      <c r="L127" s="3">
        <f>IFERROR(--_xlfn.TEXTBEFORE(Table1[[#This Row],[slot_number]],"-"),9999)</f>
        <v>5</v>
      </c>
      <c r="M127" s="3">
        <f>IFERROR(--_xlfn.TEXTAFTER(Table1[[#This Row],[slot_number]],"-"),9999)</f>
        <v>6</v>
      </c>
    </row>
    <row r="128" spans="1:101" s="3" customFormat="1" x14ac:dyDescent="0.25">
      <c r="A128" s="1">
        <v>283</v>
      </c>
      <c r="B128" s="1" t="str">
        <f t="shared" si="1"/>
        <v>5</v>
      </c>
      <c r="C128" s="2" t="s">
        <v>393</v>
      </c>
      <c r="D128" s="1" t="s">
        <v>14</v>
      </c>
      <c r="E128" s="1" t="s">
        <v>394</v>
      </c>
      <c r="F128" s="1" t="str">
        <f>SUBSTITUTE(Table1[[#This Row],[asset_tag]], "-", "")</f>
        <v>DDC4CY002810</v>
      </c>
      <c r="G128" s="1" t="s">
        <v>395</v>
      </c>
      <c r="H128" s="1" t="str">
        <f>IFERROR(VLOOKUP(F128, [1]BQ25_laptop_data_mod!A:C, 3, FALSE), "no MAC found")</f>
        <v>AC-B4-80-45-6B-29</v>
      </c>
      <c r="I128" s="1" t="s">
        <v>17</v>
      </c>
      <c r="J128" s="1" t="s">
        <v>18</v>
      </c>
      <c r="K128" s="1">
        <v>2335</v>
      </c>
      <c r="L128" s="3">
        <f>IFERROR(--_xlfn.TEXTBEFORE(Table1[[#This Row],[slot_number]],"-"),9999)</f>
        <v>5</v>
      </c>
      <c r="M128" s="3">
        <f>IFERROR(--_xlfn.TEXTAFTER(Table1[[#This Row],[slot_number]],"-"),9999)</f>
        <v>7</v>
      </c>
    </row>
    <row r="129" spans="1:101" s="3" customFormat="1" x14ac:dyDescent="0.25">
      <c r="A129" s="1">
        <v>283</v>
      </c>
      <c r="B129" s="1" t="str">
        <f t="shared" si="1"/>
        <v>5</v>
      </c>
      <c r="C129" s="2" t="s">
        <v>396</v>
      </c>
      <c r="D129" s="1" t="s">
        <v>14</v>
      </c>
      <c r="E129" s="1" t="s">
        <v>397</v>
      </c>
      <c r="F129" s="1" t="str">
        <f>SUBSTITUTE(Table1[[#This Row],[asset_tag]], "-", "")</f>
        <v>DDC4CY002678</v>
      </c>
      <c r="G129" s="1" t="s">
        <v>398</v>
      </c>
      <c r="H129" s="1" t="str">
        <f>IFERROR(VLOOKUP(F129, [1]BQ25_laptop_data_mod!A:C, 3, FALSE), "no MAC found")</f>
        <v>10-98-19-4A-50-F4</v>
      </c>
      <c r="I129" s="1" t="s">
        <v>17</v>
      </c>
      <c r="J129" s="1" t="s">
        <v>18</v>
      </c>
      <c r="K129" s="1">
        <v>2250</v>
      </c>
      <c r="L129" s="3">
        <f>IFERROR(--_xlfn.TEXTBEFORE(Table1[[#This Row],[slot_number]],"-"),9999)</f>
        <v>5</v>
      </c>
      <c r="M129" s="3">
        <f>IFERROR(--_xlfn.TEXTAFTER(Table1[[#This Row],[slot_number]],"-"),9999)</f>
        <v>8</v>
      </c>
    </row>
    <row r="130" spans="1:101" s="3" customFormat="1" x14ac:dyDescent="0.25">
      <c r="A130" s="1">
        <v>283</v>
      </c>
      <c r="B130" s="1" t="str">
        <f t="shared" ref="B130:B193" si="2">IFERROR(_xlfn.TEXTBEFORE(C130, "-"), "")</f>
        <v>5</v>
      </c>
      <c r="C130" s="2" t="s">
        <v>399</v>
      </c>
      <c r="D130" s="1" t="s">
        <v>14</v>
      </c>
      <c r="E130" s="1" t="s">
        <v>400</v>
      </c>
      <c r="F130" s="1" t="str">
        <f>SUBSTITUTE(Table1[[#This Row],[asset_tag]], "-", "")</f>
        <v>DDC4CY002681</v>
      </c>
      <c r="G130" s="1" t="s">
        <v>401</v>
      </c>
      <c r="H130" s="1" t="str">
        <f>IFERROR(VLOOKUP(F130, [1]BQ25_laptop_data_mod!A:C, 3, FALSE), "no MAC found")</f>
        <v>10-98-19-4A-53-0B</v>
      </c>
      <c r="I130" s="1" t="s">
        <v>17</v>
      </c>
      <c r="J130" s="1" t="s">
        <v>18</v>
      </c>
      <c r="K130" s="1">
        <v>2250</v>
      </c>
      <c r="L130" s="3">
        <f>IFERROR(--_xlfn.TEXTBEFORE(Table1[[#This Row],[slot_number]],"-"),9999)</f>
        <v>5</v>
      </c>
      <c r="M130" s="3">
        <f>IFERROR(--_xlfn.TEXTAFTER(Table1[[#This Row],[slot_number]],"-"),9999)</f>
        <v>9</v>
      </c>
    </row>
    <row r="131" spans="1:101" s="3" customFormat="1" x14ac:dyDescent="0.25">
      <c r="A131" s="1">
        <v>283</v>
      </c>
      <c r="B131" s="1" t="str">
        <f t="shared" si="2"/>
        <v>5</v>
      </c>
      <c r="C131" s="2" t="s">
        <v>402</v>
      </c>
      <c r="D131" s="1" t="s">
        <v>14</v>
      </c>
      <c r="E131" s="1" t="s">
        <v>403</v>
      </c>
      <c r="F131" s="1" t="str">
        <f>SUBSTITUTE(Table1[[#This Row],[asset_tag]], "-", "")</f>
        <v>DDC4CY002739</v>
      </c>
      <c r="G131" s="1" t="s">
        <v>404</v>
      </c>
      <c r="H131" s="1" t="str">
        <f>IFERROR(VLOOKUP(F131, [1]BQ25_laptop_data_mod!A:C, 3, FALSE), "no MAC found")</f>
        <v>AC-B4-80-45-6B-C3</v>
      </c>
      <c r="I131" s="1" t="s">
        <v>17</v>
      </c>
      <c r="J131" s="1" t="s">
        <v>18</v>
      </c>
      <c r="K131" s="1">
        <v>2335</v>
      </c>
      <c r="L131" s="3">
        <f>IFERROR(--_xlfn.TEXTBEFORE(Table1[[#This Row],[slot_number]],"-"),9999)</f>
        <v>5</v>
      </c>
      <c r="M131" s="3">
        <f>IFERROR(--_xlfn.TEXTAFTER(Table1[[#This Row],[slot_number]],"-"),9999)</f>
        <v>10</v>
      </c>
    </row>
    <row r="132" spans="1:101" s="3" customFormat="1" x14ac:dyDescent="0.25">
      <c r="A132" s="1">
        <v>283</v>
      </c>
      <c r="B132" s="1" t="str">
        <f t="shared" si="2"/>
        <v>5</v>
      </c>
      <c r="C132" s="2" t="s">
        <v>405</v>
      </c>
      <c r="D132" s="1" t="s">
        <v>14</v>
      </c>
      <c r="E132" s="1" t="s">
        <v>406</v>
      </c>
      <c r="F132" s="1" t="str">
        <f>SUBSTITUTE(Table1[[#This Row],[asset_tag]], "-", "")</f>
        <v>DDC4CY002735</v>
      </c>
      <c r="G132" s="1" t="s">
        <v>407</v>
      </c>
      <c r="H132" s="1" t="str">
        <f>IFERROR(VLOOKUP(F132, [1]BQ25_laptop_data_mod!A:C, 3, FALSE), "no MAC found")</f>
        <v>AC-B4-80-45-6C-3F</v>
      </c>
      <c r="I132" s="1" t="s">
        <v>17</v>
      </c>
      <c r="J132" s="1" t="s">
        <v>18</v>
      </c>
      <c r="K132" s="1">
        <v>2335</v>
      </c>
      <c r="L132" s="3">
        <f>IFERROR(--_xlfn.TEXTBEFORE(Table1[[#This Row],[slot_number]],"-"),9999)</f>
        <v>5</v>
      </c>
      <c r="M132" s="3">
        <f>IFERROR(--_xlfn.TEXTAFTER(Table1[[#This Row],[slot_number]],"-"),9999)</f>
        <v>11</v>
      </c>
      <c r="CV132" s="5"/>
      <c r="CW132" s="5"/>
    </row>
    <row r="133" spans="1:101" s="3" customFormat="1" x14ac:dyDescent="0.25">
      <c r="A133" s="1">
        <v>283</v>
      </c>
      <c r="B133" s="1" t="str">
        <f t="shared" si="2"/>
        <v>5</v>
      </c>
      <c r="C133" s="2" t="s">
        <v>408</v>
      </c>
      <c r="D133" s="1" t="s">
        <v>14</v>
      </c>
      <c r="E133" s="1" t="s">
        <v>409</v>
      </c>
      <c r="F133" s="1" t="str">
        <f>SUBSTITUTE(Table1[[#This Row],[asset_tag]], "-", "")</f>
        <v>DDC4CY002665</v>
      </c>
      <c r="G133" s="1" t="s">
        <v>410</v>
      </c>
      <c r="H133" s="1" t="str">
        <f>IFERROR(VLOOKUP(F133, [1]BQ25_laptop_data_mod!A:C, 3, FALSE), "no MAC found")</f>
        <v>10-98-19-4A-51-40</v>
      </c>
      <c r="I133" s="1" t="s">
        <v>17</v>
      </c>
      <c r="J133" s="1" t="s">
        <v>18</v>
      </c>
      <c r="K133" s="1">
        <v>2250</v>
      </c>
      <c r="L133" s="3">
        <f>IFERROR(--_xlfn.TEXTBEFORE(Table1[[#This Row],[slot_number]],"-"),9999)</f>
        <v>5</v>
      </c>
      <c r="M133" s="3">
        <f>IFERROR(--_xlfn.TEXTAFTER(Table1[[#This Row],[slot_number]],"-"),9999)</f>
        <v>12</v>
      </c>
      <c r="CV133" s="5"/>
      <c r="CW133" s="5"/>
    </row>
    <row r="134" spans="1:101" s="3" customFormat="1" x14ac:dyDescent="0.25">
      <c r="A134" s="1">
        <v>283</v>
      </c>
      <c r="B134" s="1" t="str">
        <f t="shared" si="2"/>
        <v>5</v>
      </c>
      <c r="C134" s="2" t="s">
        <v>411</v>
      </c>
      <c r="D134" s="1" t="s">
        <v>14</v>
      </c>
      <c r="E134" s="1" t="s">
        <v>412</v>
      </c>
      <c r="F134" s="1" t="str">
        <f>SUBSTITUTE(Table1[[#This Row],[asset_tag]], "-", "")</f>
        <v>DDC4CY002765</v>
      </c>
      <c r="G134" s="1" t="s">
        <v>413</v>
      </c>
      <c r="H134" s="1" t="str">
        <f>IFERROR(VLOOKUP(F134, [1]BQ25_laptop_data_mod!A:C, 3, FALSE), "no MAC found")</f>
        <v>AC-B4-80-45-6B-58</v>
      </c>
      <c r="I134" s="1" t="s">
        <v>17</v>
      </c>
      <c r="J134" s="1" t="s">
        <v>18</v>
      </c>
      <c r="K134" s="1">
        <v>2335</v>
      </c>
      <c r="L134" s="3">
        <f>IFERROR(--_xlfn.TEXTBEFORE(Table1[[#This Row],[slot_number]],"-"),9999)</f>
        <v>5</v>
      </c>
      <c r="M134" s="3">
        <f>IFERROR(--_xlfn.TEXTAFTER(Table1[[#This Row],[slot_number]],"-"),9999)</f>
        <v>13</v>
      </c>
    </row>
    <row r="135" spans="1:101" s="3" customFormat="1" x14ac:dyDescent="0.25">
      <c r="A135" s="1">
        <v>283</v>
      </c>
      <c r="B135" s="1" t="str">
        <f t="shared" si="2"/>
        <v>5</v>
      </c>
      <c r="C135" s="2" t="s">
        <v>414</v>
      </c>
      <c r="D135" s="1" t="s">
        <v>14</v>
      </c>
      <c r="E135" s="1" t="s">
        <v>415</v>
      </c>
      <c r="F135" s="1" t="str">
        <f>SUBSTITUTE(Table1[[#This Row],[asset_tag]], "-", "")</f>
        <v>DDC4CY002753</v>
      </c>
      <c r="G135" s="1" t="s">
        <v>416</v>
      </c>
      <c r="H135" s="1" t="str">
        <f>IFERROR(VLOOKUP(F135, [1]BQ25_laptop_data_mod!A:C, 3, FALSE), "no MAC found")</f>
        <v>AC-B4-80-45-6B-D6</v>
      </c>
      <c r="I135" s="1" t="s">
        <v>17</v>
      </c>
      <c r="J135" s="1" t="s">
        <v>18</v>
      </c>
      <c r="K135" s="1">
        <v>2335</v>
      </c>
      <c r="L135" s="3">
        <f>IFERROR(--_xlfn.TEXTBEFORE(Table1[[#This Row],[slot_number]],"-"),9999)</f>
        <v>5</v>
      </c>
      <c r="M135" s="3">
        <f>IFERROR(--_xlfn.TEXTAFTER(Table1[[#This Row],[slot_number]],"-"),9999)</f>
        <v>14</v>
      </c>
      <c r="CV135" s="5"/>
      <c r="CW135" s="5"/>
    </row>
    <row r="136" spans="1:101" s="3" customFormat="1" x14ac:dyDescent="0.25">
      <c r="A136" s="1">
        <v>283</v>
      </c>
      <c r="B136" s="1" t="str">
        <f t="shared" si="2"/>
        <v>5</v>
      </c>
      <c r="C136" s="2" t="s">
        <v>417</v>
      </c>
      <c r="D136" s="1" t="s">
        <v>14</v>
      </c>
      <c r="E136" s="1" t="s">
        <v>418</v>
      </c>
      <c r="F136" s="1" t="str">
        <f>SUBSTITUTE(Table1[[#This Row],[asset_tag]], "-", "")</f>
        <v>DDC4CY002605</v>
      </c>
      <c r="G136" s="1" t="s">
        <v>419</v>
      </c>
      <c r="H136" s="1" t="str">
        <f>IFERROR(VLOOKUP(F136, [1]BQ25_laptop_data_mod!A:C, 3, FALSE), "no MAC found")</f>
        <v>10-98-19-4A-51-02</v>
      </c>
      <c r="I136" s="1" t="s">
        <v>17</v>
      </c>
      <c r="J136" s="1" t="s">
        <v>18</v>
      </c>
      <c r="K136" s="1">
        <v>2250</v>
      </c>
      <c r="L136" s="3">
        <f>IFERROR(--_xlfn.TEXTBEFORE(Table1[[#This Row],[slot_number]],"-"),9999)</f>
        <v>5</v>
      </c>
      <c r="M136" s="3">
        <f>IFERROR(--_xlfn.TEXTAFTER(Table1[[#This Row],[slot_number]],"-"),9999)</f>
        <v>15</v>
      </c>
    </row>
    <row r="137" spans="1:101" s="3" customFormat="1" x14ac:dyDescent="0.25">
      <c r="A137" s="1">
        <v>283</v>
      </c>
      <c r="B137" s="1" t="str">
        <f t="shared" si="2"/>
        <v>5</v>
      </c>
      <c r="C137" s="2" t="s">
        <v>420</v>
      </c>
      <c r="D137" s="1" t="s">
        <v>14</v>
      </c>
      <c r="E137" s="1" t="s">
        <v>421</v>
      </c>
      <c r="F137" s="1" t="str">
        <f>SUBSTITUTE(Table1[[#This Row],[asset_tag]], "-", "")</f>
        <v>DDC4CY002612</v>
      </c>
      <c r="G137" s="1" t="s">
        <v>422</v>
      </c>
      <c r="H137" s="1" t="str">
        <f>IFERROR(VLOOKUP(F137, [1]BQ25_laptop_data_mod!A:C, 3, FALSE), "no MAC found")</f>
        <v>10-98-19-4A-50-ED</v>
      </c>
      <c r="I137" s="1" t="s">
        <v>17</v>
      </c>
      <c r="J137" s="1" t="s">
        <v>18</v>
      </c>
      <c r="K137" s="1">
        <v>2250</v>
      </c>
      <c r="L137" s="3">
        <f>IFERROR(--_xlfn.TEXTBEFORE(Table1[[#This Row],[slot_number]],"-"),9999)</f>
        <v>5</v>
      </c>
      <c r="M137" s="3">
        <f>IFERROR(--_xlfn.TEXTAFTER(Table1[[#This Row],[slot_number]],"-"),9999)</f>
        <v>16</v>
      </c>
    </row>
    <row r="138" spans="1:101" s="3" customFormat="1" x14ac:dyDescent="0.25">
      <c r="A138" s="1">
        <v>283</v>
      </c>
      <c r="B138" s="1" t="str">
        <f t="shared" si="2"/>
        <v>5</v>
      </c>
      <c r="C138" s="2" t="s">
        <v>423</v>
      </c>
      <c r="D138" s="1" t="s">
        <v>14</v>
      </c>
      <c r="E138" s="1" t="s">
        <v>424</v>
      </c>
      <c r="F138" s="1" t="str">
        <f>SUBSTITUTE(Table1[[#This Row],[asset_tag]], "-", "")</f>
        <v>DDC4CY002606</v>
      </c>
      <c r="G138" s="1" t="s">
        <v>425</v>
      </c>
      <c r="H138" s="1" t="str">
        <f>IFERROR(VLOOKUP(F138, [1]BQ25_laptop_data_mod!A:C, 3, FALSE), "no MAC found")</f>
        <v>10-98-19-4A-52-95</v>
      </c>
      <c r="I138" s="1" t="s">
        <v>17</v>
      </c>
      <c r="J138" s="1" t="s">
        <v>18</v>
      </c>
      <c r="K138" s="1">
        <v>2250</v>
      </c>
      <c r="L138" s="3">
        <f>IFERROR(--_xlfn.TEXTBEFORE(Table1[[#This Row],[slot_number]],"-"),9999)</f>
        <v>5</v>
      </c>
      <c r="M138" s="3">
        <f>IFERROR(--_xlfn.TEXTAFTER(Table1[[#This Row],[slot_number]],"-"),9999)</f>
        <v>17</v>
      </c>
    </row>
    <row r="139" spans="1:101" s="3" customFormat="1" x14ac:dyDescent="0.25">
      <c r="A139" s="1">
        <v>283</v>
      </c>
      <c r="B139" s="1" t="str">
        <f t="shared" si="2"/>
        <v>5</v>
      </c>
      <c r="C139" s="2" t="s">
        <v>426</v>
      </c>
      <c r="D139" s="1" t="s">
        <v>14</v>
      </c>
      <c r="E139" s="1" t="s">
        <v>427</v>
      </c>
      <c r="F139" s="1" t="str">
        <f>SUBSTITUTE(Table1[[#This Row],[asset_tag]], "-", "")</f>
        <v>DDC4CY002530</v>
      </c>
      <c r="G139" s="1" t="s">
        <v>428</v>
      </c>
      <c r="H139" s="1" t="str">
        <f>IFERROR(VLOOKUP(F139, [1]BQ25_laptop_data_mod!A:C, 3, FALSE), "no MAC found")</f>
        <v>10-98-19-4A-50-93</v>
      </c>
      <c r="I139" s="1" t="s">
        <v>17</v>
      </c>
      <c r="J139" s="1" t="s">
        <v>18</v>
      </c>
      <c r="K139" s="1">
        <v>2250</v>
      </c>
      <c r="L139" s="3">
        <f>IFERROR(--_xlfn.TEXTBEFORE(Table1[[#This Row],[slot_number]],"-"),9999)</f>
        <v>5</v>
      </c>
      <c r="M139" s="3">
        <f>IFERROR(--_xlfn.TEXTAFTER(Table1[[#This Row],[slot_number]],"-"),9999)</f>
        <v>18</v>
      </c>
      <c r="CT139" s="4"/>
    </row>
    <row r="140" spans="1:101" s="3" customFormat="1" x14ac:dyDescent="0.25">
      <c r="A140" s="1">
        <v>283</v>
      </c>
      <c r="B140" s="1" t="str">
        <f t="shared" si="2"/>
        <v>5</v>
      </c>
      <c r="C140" s="2" t="s">
        <v>429</v>
      </c>
      <c r="D140" s="1" t="s">
        <v>14</v>
      </c>
      <c r="E140" s="1" t="s">
        <v>430</v>
      </c>
      <c r="F140" s="1" t="str">
        <f>SUBSTITUTE(Table1[[#This Row],[asset_tag]], "-", "")</f>
        <v>DDC4CY002550</v>
      </c>
      <c r="G140" s="1" t="s">
        <v>431</v>
      </c>
      <c r="H140" s="1" t="str">
        <f>IFERROR(VLOOKUP(F140, [1]BQ25_laptop_data_mod!A:C, 3, FALSE), "no MAC found")</f>
        <v>10-98-19-4A-51-44</v>
      </c>
      <c r="I140" s="1" t="s">
        <v>17</v>
      </c>
      <c r="J140" s="1" t="s">
        <v>18</v>
      </c>
      <c r="K140" s="1">
        <v>2250</v>
      </c>
      <c r="L140" s="3">
        <f>IFERROR(--_xlfn.TEXTBEFORE(Table1[[#This Row],[slot_number]],"-"),9999)</f>
        <v>5</v>
      </c>
      <c r="M140" s="3">
        <f>IFERROR(--_xlfn.TEXTAFTER(Table1[[#This Row],[slot_number]],"-"),9999)</f>
        <v>19</v>
      </c>
      <c r="CT140" s="4"/>
      <c r="CV140" s="5"/>
      <c r="CW140" s="5"/>
    </row>
    <row r="141" spans="1:101" s="3" customFormat="1" x14ac:dyDescent="0.25">
      <c r="A141" s="1">
        <v>283</v>
      </c>
      <c r="B141" s="1" t="str">
        <f t="shared" si="2"/>
        <v>5</v>
      </c>
      <c r="C141" s="2" t="s">
        <v>432</v>
      </c>
      <c r="D141" s="1" t="s">
        <v>14</v>
      </c>
      <c r="E141" s="1" t="s">
        <v>433</v>
      </c>
      <c r="F141" s="1" t="str">
        <f>SUBSTITUTE(Table1[[#This Row],[asset_tag]], "-", "")</f>
        <v>DDC4CY002629</v>
      </c>
      <c r="G141" s="1" t="s">
        <v>434</v>
      </c>
      <c r="H141" s="1" t="str">
        <f>IFERROR(VLOOKUP(F141, [1]BQ25_laptop_data_mod!A:C, 3, FALSE), "no MAC found")</f>
        <v>10-98-19-4A-52-E8</v>
      </c>
      <c r="I141" s="1" t="s">
        <v>17</v>
      </c>
      <c r="J141" s="1" t="s">
        <v>18</v>
      </c>
      <c r="K141" s="1">
        <v>2250</v>
      </c>
      <c r="L141" s="3">
        <f>IFERROR(--_xlfn.TEXTBEFORE(Table1[[#This Row],[slot_number]],"-"),9999)</f>
        <v>5</v>
      </c>
      <c r="M141" s="3">
        <f>IFERROR(--_xlfn.TEXTAFTER(Table1[[#This Row],[slot_number]],"-"),9999)</f>
        <v>20</v>
      </c>
      <c r="CT141" s="5"/>
      <c r="CV141" s="5"/>
      <c r="CW141" s="5"/>
    </row>
    <row r="142" spans="1:101" s="3" customFormat="1" x14ac:dyDescent="0.25">
      <c r="A142" s="1">
        <v>283</v>
      </c>
      <c r="B142" s="1" t="str">
        <f t="shared" si="2"/>
        <v>5</v>
      </c>
      <c r="C142" s="2" t="s">
        <v>435</v>
      </c>
      <c r="D142" s="1" t="s">
        <v>14</v>
      </c>
      <c r="E142" s="1" t="s">
        <v>436</v>
      </c>
      <c r="F142" s="1" t="str">
        <f>SUBSTITUTE(Table1[[#This Row],[asset_tag]], "-", "")</f>
        <v>DDC4CY002522</v>
      </c>
      <c r="G142" s="1" t="s">
        <v>437</v>
      </c>
      <c r="H142" s="1" t="str">
        <f>IFERROR(VLOOKUP(F142, [1]BQ25_laptop_data_mod!A:C, 3, FALSE), "no MAC found")</f>
        <v>10-98-19-4A-51-FC</v>
      </c>
      <c r="I142" s="1" t="s">
        <v>17</v>
      </c>
      <c r="J142" s="1" t="s">
        <v>18</v>
      </c>
      <c r="K142" s="1">
        <v>2250</v>
      </c>
      <c r="L142" s="3">
        <f>IFERROR(--_xlfn.TEXTBEFORE(Table1[[#This Row],[slot_number]],"-"),9999)</f>
        <v>5</v>
      </c>
      <c r="M142" s="3">
        <f>IFERROR(--_xlfn.TEXTAFTER(Table1[[#This Row],[slot_number]],"-"),9999)</f>
        <v>21</v>
      </c>
      <c r="CV142" s="5"/>
      <c r="CW142" s="5"/>
    </row>
    <row r="143" spans="1:101" s="3" customFormat="1" x14ac:dyDescent="0.25">
      <c r="A143" s="1">
        <v>283</v>
      </c>
      <c r="B143" s="1" t="str">
        <f t="shared" si="2"/>
        <v>5</v>
      </c>
      <c r="C143" s="2" t="s">
        <v>438</v>
      </c>
      <c r="D143" s="1" t="s">
        <v>14</v>
      </c>
      <c r="E143" s="1" t="s">
        <v>439</v>
      </c>
      <c r="F143" s="1" t="str">
        <f>SUBSTITUTE(Table1[[#This Row],[asset_tag]], "-", "")</f>
        <v>DDC4CY002595</v>
      </c>
      <c r="G143" s="1" t="s">
        <v>440</v>
      </c>
      <c r="H143" s="1" t="str">
        <f>IFERROR(VLOOKUP(F143, [1]BQ25_laptop_data_mod!A:C, 3, FALSE), "no MAC found")</f>
        <v>10-98-19-4A-51-47</v>
      </c>
      <c r="I143" s="1" t="s">
        <v>17</v>
      </c>
      <c r="J143" s="1" t="s">
        <v>18</v>
      </c>
      <c r="K143" s="1">
        <v>2250</v>
      </c>
      <c r="L143" s="3">
        <f>IFERROR(--_xlfn.TEXTBEFORE(Table1[[#This Row],[slot_number]],"-"),9999)</f>
        <v>5</v>
      </c>
      <c r="M143" s="3">
        <f>IFERROR(--_xlfn.TEXTAFTER(Table1[[#This Row],[slot_number]],"-"),9999)</f>
        <v>22</v>
      </c>
      <c r="CV143" s="5"/>
      <c r="CW143" s="5"/>
    </row>
    <row r="144" spans="1:101" s="3" customFormat="1" x14ac:dyDescent="0.25">
      <c r="A144" s="1">
        <v>283</v>
      </c>
      <c r="B144" s="1" t="str">
        <f t="shared" si="2"/>
        <v>5</v>
      </c>
      <c r="C144" s="2" t="s">
        <v>441</v>
      </c>
      <c r="D144" s="1" t="s">
        <v>14</v>
      </c>
      <c r="E144" s="1" t="s">
        <v>442</v>
      </c>
      <c r="F144" s="1" t="str">
        <f>SUBSTITUTE(Table1[[#This Row],[asset_tag]], "-", "")</f>
        <v>DDC4CY002574</v>
      </c>
      <c r="G144" s="1" t="s">
        <v>443</v>
      </c>
      <c r="H144" s="1" t="str">
        <f>IFERROR(VLOOKUP(F144, [1]BQ25_laptop_data_mod!A:C, 3, FALSE), "no MAC found")</f>
        <v>10-98-19-4A-50-FF</v>
      </c>
      <c r="I144" s="1" t="s">
        <v>17</v>
      </c>
      <c r="J144" s="1" t="s">
        <v>18</v>
      </c>
      <c r="K144" s="1">
        <v>2250</v>
      </c>
      <c r="L144" s="3">
        <f>IFERROR(--_xlfn.TEXTBEFORE(Table1[[#This Row],[slot_number]],"-"),9999)</f>
        <v>5</v>
      </c>
      <c r="M144" s="3">
        <f>IFERROR(--_xlfn.TEXTAFTER(Table1[[#This Row],[slot_number]],"-"),9999)</f>
        <v>23</v>
      </c>
    </row>
    <row r="145" spans="1:101" s="3" customFormat="1" x14ac:dyDescent="0.25">
      <c r="A145" s="1">
        <v>283</v>
      </c>
      <c r="B145" s="1" t="str">
        <f t="shared" si="2"/>
        <v>5</v>
      </c>
      <c r="C145" s="2" t="s">
        <v>444</v>
      </c>
      <c r="D145" s="1" t="s">
        <v>14</v>
      </c>
      <c r="E145" s="1" t="s">
        <v>445</v>
      </c>
      <c r="F145" s="1" t="str">
        <f>SUBSTITUTE(Table1[[#This Row],[asset_tag]], "-", "")</f>
        <v>DDC4CY002540</v>
      </c>
      <c r="G145" s="1" t="s">
        <v>446</v>
      </c>
      <c r="H145" s="1" t="str">
        <f>IFERROR(VLOOKUP(F145, [1]BQ25_laptop_data_mod!A:C, 3, FALSE), "no MAC found")</f>
        <v>10-98-19-4A-52-E9</v>
      </c>
      <c r="I145" s="1" t="s">
        <v>17</v>
      </c>
      <c r="J145" s="1" t="s">
        <v>18</v>
      </c>
      <c r="K145" s="1">
        <v>2250</v>
      </c>
      <c r="L145" s="3">
        <f>IFERROR(--_xlfn.TEXTBEFORE(Table1[[#This Row],[slot_number]],"-"),9999)</f>
        <v>5</v>
      </c>
      <c r="M145" s="3">
        <f>IFERROR(--_xlfn.TEXTAFTER(Table1[[#This Row],[slot_number]],"-"),9999)</f>
        <v>24</v>
      </c>
    </row>
    <row r="146" spans="1:101" s="3" customFormat="1" x14ac:dyDescent="0.25">
      <c r="A146" s="1">
        <v>283</v>
      </c>
      <c r="B146" s="1" t="str">
        <f t="shared" si="2"/>
        <v>5</v>
      </c>
      <c r="C146" s="2" t="s">
        <v>447</v>
      </c>
      <c r="D146" s="1" t="s">
        <v>14</v>
      </c>
      <c r="E146" s="1" t="s">
        <v>448</v>
      </c>
      <c r="F146" s="1" t="str">
        <f>SUBSTITUTE(Table1[[#This Row],[asset_tag]], "-", "")</f>
        <v>DDC4CY002520</v>
      </c>
      <c r="G146" s="1" t="s">
        <v>449</v>
      </c>
      <c r="H146" s="1" t="str">
        <f>IFERROR(VLOOKUP(F146, [1]BQ25_laptop_data_mod!A:C, 3, FALSE), "no MAC found")</f>
        <v>10-98-19-4A-51-1D</v>
      </c>
      <c r="I146" s="1" t="s">
        <v>17</v>
      </c>
      <c r="J146" s="1" t="s">
        <v>18</v>
      </c>
      <c r="K146" s="1">
        <v>2250</v>
      </c>
      <c r="L146" s="3">
        <f>IFERROR(--_xlfn.TEXTBEFORE(Table1[[#This Row],[slot_number]],"-"),9999)</f>
        <v>5</v>
      </c>
      <c r="M146" s="3">
        <f>IFERROR(--_xlfn.TEXTAFTER(Table1[[#This Row],[slot_number]],"-"),9999)</f>
        <v>25</v>
      </c>
    </row>
    <row r="147" spans="1:101" s="3" customFormat="1" x14ac:dyDescent="0.25">
      <c r="A147" s="1">
        <v>283</v>
      </c>
      <c r="B147" s="1" t="str">
        <f t="shared" si="2"/>
        <v>5</v>
      </c>
      <c r="C147" s="2" t="s">
        <v>450</v>
      </c>
      <c r="D147" s="1" t="s">
        <v>14</v>
      </c>
      <c r="E147" s="1" t="s">
        <v>451</v>
      </c>
      <c r="F147" s="1" t="str">
        <f>SUBSTITUTE(Table1[[#This Row],[asset_tag]], "-", "")</f>
        <v>DDC4CY002733</v>
      </c>
      <c r="G147" s="1" t="s">
        <v>452</v>
      </c>
      <c r="H147" s="1" t="str">
        <f>IFERROR(VLOOKUP(F147, [1]BQ25_laptop_data_mod!A:C, 3, FALSE), "no MAC found")</f>
        <v>AC-B4-80-45-6B-15</v>
      </c>
      <c r="I147" s="1" t="s">
        <v>17</v>
      </c>
      <c r="J147" s="1" t="s">
        <v>18</v>
      </c>
      <c r="K147" s="1">
        <v>2335</v>
      </c>
      <c r="L147" s="3">
        <f>IFERROR(--_xlfn.TEXTBEFORE(Table1[[#This Row],[slot_number]],"-"),9999)</f>
        <v>5</v>
      </c>
      <c r="M147" s="3">
        <f>IFERROR(--_xlfn.TEXTAFTER(Table1[[#This Row],[slot_number]],"-"),9999)</f>
        <v>26</v>
      </c>
    </row>
    <row r="148" spans="1:101" s="3" customFormat="1" x14ac:dyDescent="0.25">
      <c r="A148" s="1">
        <v>283</v>
      </c>
      <c r="B148" s="1" t="str">
        <f t="shared" si="2"/>
        <v>5</v>
      </c>
      <c r="C148" s="2" t="s">
        <v>453</v>
      </c>
      <c r="D148" s="1" t="s">
        <v>14</v>
      </c>
      <c r="E148" s="1" t="s">
        <v>454</v>
      </c>
      <c r="F148" s="1" t="str">
        <f>SUBSTITUTE(Table1[[#This Row],[asset_tag]], "-", "")</f>
        <v>DDC4CY002745</v>
      </c>
      <c r="G148" s="1" t="s">
        <v>455</v>
      </c>
      <c r="H148" s="1" t="str">
        <f>IFERROR(VLOOKUP(F148, [1]BQ25_laptop_data_mod!A:C, 3, FALSE), "no MAC found")</f>
        <v>AC-B4-80-45-6B-52</v>
      </c>
      <c r="I148" s="1" t="s">
        <v>17</v>
      </c>
      <c r="J148" s="1" t="s">
        <v>18</v>
      </c>
      <c r="K148" s="1">
        <v>2335</v>
      </c>
      <c r="L148" s="3">
        <f>IFERROR(--_xlfn.TEXTBEFORE(Table1[[#This Row],[slot_number]],"-"),9999)</f>
        <v>5</v>
      </c>
      <c r="M148" s="3">
        <f>IFERROR(--_xlfn.TEXTAFTER(Table1[[#This Row],[slot_number]],"-"),9999)</f>
        <v>27</v>
      </c>
    </row>
    <row r="149" spans="1:101" s="3" customFormat="1" x14ac:dyDescent="0.25">
      <c r="A149" s="1">
        <v>283</v>
      </c>
      <c r="B149" s="1" t="str">
        <f t="shared" si="2"/>
        <v>5</v>
      </c>
      <c r="C149" s="2" t="s">
        <v>456</v>
      </c>
      <c r="D149" s="1" t="s">
        <v>14</v>
      </c>
      <c r="E149" s="1" t="s">
        <v>457</v>
      </c>
      <c r="F149" s="1" t="str">
        <f>SUBSTITUTE(Table1[[#This Row],[asset_tag]], "-", "")</f>
        <v>DDC4CY002775</v>
      </c>
      <c r="G149" s="1" t="s">
        <v>458</v>
      </c>
      <c r="H149" s="1" t="str">
        <f>IFERROR(VLOOKUP(F149, [1]BQ25_laptop_data_mod!A:C, 3, FALSE), "no MAC found")</f>
        <v>AC-84-80-45-6B-74</v>
      </c>
      <c r="I149" s="1" t="s">
        <v>17</v>
      </c>
      <c r="J149" s="1" t="s">
        <v>18</v>
      </c>
      <c r="K149" s="1">
        <v>2335</v>
      </c>
      <c r="L149" s="3">
        <f>IFERROR(--_xlfn.TEXTBEFORE(Table1[[#This Row],[slot_number]],"-"),9999)</f>
        <v>5</v>
      </c>
      <c r="M149" s="3">
        <f>IFERROR(--_xlfn.TEXTAFTER(Table1[[#This Row],[slot_number]],"-"),9999)</f>
        <v>28</v>
      </c>
    </row>
    <row r="150" spans="1:101" s="3" customFormat="1" x14ac:dyDescent="0.25">
      <c r="A150" s="1">
        <v>283</v>
      </c>
      <c r="B150" s="1" t="str">
        <f t="shared" si="2"/>
        <v>5</v>
      </c>
      <c r="C150" s="2" t="s">
        <v>459</v>
      </c>
      <c r="D150" s="1" t="s">
        <v>14</v>
      </c>
      <c r="E150" s="1" t="s">
        <v>460</v>
      </c>
      <c r="F150" s="1" t="str">
        <f>SUBSTITUTE(Table1[[#This Row],[asset_tag]], "-", "")</f>
        <v>DDC4CY002655</v>
      </c>
      <c r="G150" s="1" t="s">
        <v>461</v>
      </c>
      <c r="H150" s="1" t="str">
        <f>IFERROR(VLOOKUP(F150, [1]BQ25_laptop_data_mod!A:C, 3, FALSE), "no MAC found")</f>
        <v>10-98-19-4A-52-85</v>
      </c>
      <c r="I150" s="1" t="s">
        <v>17</v>
      </c>
      <c r="J150" s="1" t="s">
        <v>18</v>
      </c>
      <c r="K150" s="1">
        <v>2250</v>
      </c>
      <c r="L150" s="3">
        <f>IFERROR(--_xlfn.TEXTBEFORE(Table1[[#This Row],[slot_number]],"-"),9999)</f>
        <v>5</v>
      </c>
      <c r="M150" s="3">
        <f>IFERROR(--_xlfn.TEXTAFTER(Table1[[#This Row],[slot_number]],"-"),9999)</f>
        <v>29</v>
      </c>
    </row>
    <row r="151" spans="1:101" s="3" customFormat="1" x14ac:dyDescent="0.25">
      <c r="A151" s="1">
        <v>283</v>
      </c>
      <c r="B151" s="1" t="str">
        <f t="shared" si="2"/>
        <v>5</v>
      </c>
      <c r="C151" s="2" t="s">
        <v>462</v>
      </c>
      <c r="D151" s="1" t="s">
        <v>14</v>
      </c>
      <c r="E151" s="1" t="s">
        <v>463</v>
      </c>
      <c r="F151" s="1" t="str">
        <f>SUBSTITUTE(Table1[[#This Row],[asset_tag]], "-", "")</f>
        <v>DDC4CY002758</v>
      </c>
      <c r="G151" s="1" t="s">
        <v>464</v>
      </c>
      <c r="H151" s="1" t="str">
        <f>IFERROR(VLOOKUP(F151, [1]BQ25_laptop_data_mod!A:C, 3, FALSE), "no MAC found")</f>
        <v>AC-B4-80-45-6B-99</v>
      </c>
      <c r="I151" s="1" t="s">
        <v>17</v>
      </c>
      <c r="J151" s="1" t="s">
        <v>18</v>
      </c>
      <c r="K151" s="1">
        <v>2335</v>
      </c>
      <c r="L151" s="3">
        <f>IFERROR(--_xlfn.TEXTBEFORE(Table1[[#This Row],[slot_number]],"-"),9999)</f>
        <v>5</v>
      </c>
      <c r="M151" s="3">
        <f>IFERROR(--_xlfn.TEXTAFTER(Table1[[#This Row],[slot_number]],"-"),9999)</f>
        <v>30</v>
      </c>
    </row>
    <row r="152" spans="1:101" s="3" customFormat="1" x14ac:dyDescent="0.25">
      <c r="A152" s="1">
        <v>283</v>
      </c>
      <c r="B152" s="1" t="str">
        <f t="shared" si="2"/>
        <v>6</v>
      </c>
      <c r="C152" s="2" t="s">
        <v>465</v>
      </c>
      <c r="D152" s="1" t="s">
        <v>14</v>
      </c>
      <c r="E152" s="1" t="s">
        <v>466</v>
      </c>
      <c r="F152" s="1" t="str">
        <f>SUBSTITUTE(Table1[[#This Row],[asset_tag]], "-", "")</f>
        <v>DDC4CY002752</v>
      </c>
      <c r="G152" s="1" t="s">
        <v>467</v>
      </c>
      <c r="H152" s="1" t="str">
        <f>IFERROR(VLOOKUP(F152, [1]BQ25_laptop_data_mod!A:C, 3, FALSE), "no MAC found")</f>
        <v>AC-B4-80-45-6A-E1</v>
      </c>
      <c r="I152" s="1" t="s">
        <v>17</v>
      </c>
      <c r="J152" s="1" t="s">
        <v>18</v>
      </c>
      <c r="K152" s="1">
        <v>2335</v>
      </c>
      <c r="L152" s="3">
        <f>IFERROR(--_xlfn.TEXTBEFORE(Table1[[#This Row],[slot_number]],"-"),9999)</f>
        <v>6</v>
      </c>
      <c r="M152" s="3">
        <f>IFERROR(--_xlfn.TEXTAFTER(Table1[[#This Row],[slot_number]],"-"),9999)</f>
        <v>1</v>
      </c>
    </row>
    <row r="153" spans="1:101" s="3" customFormat="1" x14ac:dyDescent="0.25">
      <c r="A153" s="1">
        <v>283</v>
      </c>
      <c r="B153" s="1" t="str">
        <f t="shared" si="2"/>
        <v>6</v>
      </c>
      <c r="C153" s="2" t="s">
        <v>468</v>
      </c>
      <c r="D153" s="1" t="s">
        <v>14</v>
      </c>
      <c r="E153" s="1" t="s">
        <v>469</v>
      </c>
      <c r="F153" s="1" t="str">
        <f>SUBSTITUTE(Table1[[#This Row],[asset_tag]], "-", "")</f>
        <v>DDC4CY002642</v>
      </c>
      <c r="G153" s="1" t="s">
        <v>470</v>
      </c>
      <c r="H153" s="1" t="str">
        <f>IFERROR(VLOOKUP(F153, [1]BQ25_laptop_data_mod!A:C, 3, FALSE), "no MAC found")</f>
        <v>10-98-19-4A-52-DC</v>
      </c>
      <c r="I153" s="1" t="s">
        <v>17</v>
      </c>
      <c r="J153" s="1" t="s">
        <v>18</v>
      </c>
      <c r="K153" s="1">
        <v>2250</v>
      </c>
      <c r="L153" s="3">
        <f>IFERROR(--_xlfn.TEXTBEFORE(Table1[[#This Row],[slot_number]],"-"),9999)</f>
        <v>6</v>
      </c>
      <c r="M153" s="3">
        <f>IFERROR(--_xlfn.TEXTAFTER(Table1[[#This Row],[slot_number]],"-"),9999)</f>
        <v>2</v>
      </c>
      <c r="CV153" s="8"/>
      <c r="CW153" s="8"/>
    </row>
    <row r="154" spans="1:101" s="3" customFormat="1" x14ac:dyDescent="0.25">
      <c r="A154" s="1">
        <v>283</v>
      </c>
      <c r="B154" s="1" t="str">
        <f t="shared" si="2"/>
        <v>6</v>
      </c>
      <c r="C154" s="2" t="s">
        <v>471</v>
      </c>
      <c r="D154" s="1" t="s">
        <v>14</v>
      </c>
      <c r="E154" s="1" t="s">
        <v>472</v>
      </c>
      <c r="F154" s="1" t="str">
        <f>SUBSTITUTE(Table1[[#This Row],[asset_tag]], "-", "")</f>
        <v>DDC4CY002638</v>
      </c>
      <c r="G154" s="1" t="s">
        <v>473</v>
      </c>
      <c r="H154" s="1" t="str">
        <f>IFERROR(VLOOKUP(F154, [1]BQ25_laptop_data_mod!A:C, 3, FALSE), "no MAC found")</f>
        <v>10-98-19-4A-52-13</v>
      </c>
      <c r="I154" s="1" t="s">
        <v>17</v>
      </c>
      <c r="J154" s="1" t="s">
        <v>18</v>
      </c>
      <c r="K154" s="1">
        <v>2250</v>
      </c>
      <c r="L154" s="3">
        <f>IFERROR(--_xlfn.TEXTBEFORE(Table1[[#This Row],[slot_number]],"-"),9999)</f>
        <v>6</v>
      </c>
      <c r="M154" s="3">
        <f>IFERROR(--_xlfn.TEXTAFTER(Table1[[#This Row],[slot_number]],"-"),9999)</f>
        <v>3</v>
      </c>
      <c r="CV154" s="8"/>
      <c r="CW154" s="8"/>
    </row>
    <row r="155" spans="1:101" s="3" customFormat="1" x14ac:dyDescent="0.25">
      <c r="A155" s="1">
        <v>283</v>
      </c>
      <c r="B155" s="1" t="str">
        <f t="shared" si="2"/>
        <v>6</v>
      </c>
      <c r="C155" s="2" t="s">
        <v>474</v>
      </c>
      <c r="D155" s="1" t="s">
        <v>14</v>
      </c>
      <c r="E155" s="1" t="s">
        <v>475</v>
      </c>
      <c r="F155" s="1" t="str">
        <f>SUBSTITUTE(Table1[[#This Row],[asset_tag]], "-", "")</f>
        <v>DDC4CY002619</v>
      </c>
      <c r="G155" s="1" t="s">
        <v>476</v>
      </c>
      <c r="H155" s="1" t="str">
        <f>IFERROR(VLOOKUP(F155, [1]BQ25_laptop_data_mod!A:C, 3, FALSE), "no MAC found")</f>
        <v>10-98-19-4A-52-46</v>
      </c>
      <c r="I155" s="1" t="s">
        <v>17</v>
      </c>
      <c r="J155" s="1" t="s">
        <v>18</v>
      </c>
      <c r="K155" s="1">
        <v>2250</v>
      </c>
      <c r="L155" s="3">
        <f>IFERROR(--_xlfn.TEXTBEFORE(Table1[[#This Row],[slot_number]],"-"),9999)</f>
        <v>6</v>
      </c>
      <c r="M155" s="3">
        <f>IFERROR(--_xlfn.TEXTAFTER(Table1[[#This Row],[slot_number]],"-"),9999)</f>
        <v>4</v>
      </c>
    </row>
    <row r="156" spans="1:101" s="3" customFormat="1" x14ac:dyDescent="0.25">
      <c r="A156" s="1">
        <v>283</v>
      </c>
      <c r="B156" s="1" t="str">
        <f t="shared" si="2"/>
        <v>6</v>
      </c>
      <c r="C156" s="2" t="s">
        <v>477</v>
      </c>
      <c r="D156" s="1" t="s">
        <v>14</v>
      </c>
      <c r="E156" s="1" t="s">
        <v>478</v>
      </c>
      <c r="F156" s="1" t="str">
        <f>SUBSTITUTE(Table1[[#This Row],[asset_tag]], "-", "")</f>
        <v>DDC4CY002594</v>
      </c>
      <c r="G156" s="1" t="s">
        <v>479</v>
      </c>
      <c r="H156" s="1" t="str">
        <f>IFERROR(VLOOKUP(F156, [1]BQ25_laptop_data_mod!A:C, 3, FALSE), "no MAC found")</f>
        <v>10-98-19-4A-51-F9</v>
      </c>
      <c r="I156" s="1" t="s">
        <v>17</v>
      </c>
      <c r="J156" s="1" t="s">
        <v>18</v>
      </c>
      <c r="K156" s="1">
        <v>2250</v>
      </c>
      <c r="L156" s="3">
        <f>IFERROR(--_xlfn.TEXTBEFORE(Table1[[#This Row],[slot_number]],"-"),9999)</f>
        <v>6</v>
      </c>
      <c r="M156" s="3">
        <f>IFERROR(--_xlfn.TEXTAFTER(Table1[[#This Row],[slot_number]],"-"),9999)</f>
        <v>5</v>
      </c>
      <c r="CV156" s="8"/>
      <c r="CW156" s="8"/>
    </row>
    <row r="157" spans="1:101" s="3" customFormat="1" x14ac:dyDescent="0.25">
      <c r="A157" s="1">
        <v>283</v>
      </c>
      <c r="B157" s="1" t="str">
        <f t="shared" si="2"/>
        <v>6</v>
      </c>
      <c r="C157" s="2" t="s">
        <v>480</v>
      </c>
      <c r="D157" s="1" t="s">
        <v>14</v>
      </c>
      <c r="E157" s="1" t="s">
        <v>481</v>
      </c>
      <c r="F157" s="1" t="str">
        <f>SUBSTITUTE(Table1[[#This Row],[asset_tag]], "-", "")</f>
        <v>DDC4CY002674</v>
      </c>
      <c r="G157" s="1" t="s">
        <v>482</v>
      </c>
      <c r="H157" s="1" t="str">
        <f>IFERROR(VLOOKUP(F157, [1]BQ25_laptop_data_mod!A:C, 3, FALSE), "no MAC found")</f>
        <v>10-98-19-4A-50-AF</v>
      </c>
      <c r="I157" s="1" t="s">
        <v>17</v>
      </c>
      <c r="J157" s="1" t="s">
        <v>18</v>
      </c>
      <c r="K157" s="1">
        <v>2250</v>
      </c>
      <c r="L157" s="3">
        <f>IFERROR(--_xlfn.TEXTBEFORE(Table1[[#This Row],[slot_number]],"-"),9999)</f>
        <v>6</v>
      </c>
      <c r="M157" s="3">
        <f>IFERROR(--_xlfn.TEXTAFTER(Table1[[#This Row],[slot_number]],"-"),9999)</f>
        <v>6</v>
      </c>
      <c r="CV157" s="4"/>
      <c r="CW157" s="4"/>
    </row>
    <row r="158" spans="1:101" s="3" customFormat="1" x14ac:dyDescent="0.25">
      <c r="A158" s="1">
        <v>283</v>
      </c>
      <c r="B158" s="1" t="str">
        <f t="shared" si="2"/>
        <v>6</v>
      </c>
      <c r="C158" s="2" t="s">
        <v>483</v>
      </c>
      <c r="D158" s="1" t="s">
        <v>14</v>
      </c>
      <c r="E158" s="1" t="s">
        <v>484</v>
      </c>
      <c r="F158" s="1" t="str">
        <f>SUBSTITUTE(Table1[[#This Row],[asset_tag]], "-", "")</f>
        <v>DDC4CY002555</v>
      </c>
      <c r="G158" s="1" t="s">
        <v>485</v>
      </c>
      <c r="H158" s="1" t="str">
        <f>IFERROR(VLOOKUP(F158, [1]BQ25_laptop_data_mod!A:C, 3, FALSE), "no MAC found")</f>
        <v>10-98-19-4A-51-C9</v>
      </c>
      <c r="I158" s="1" t="s">
        <v>17</v>
      </c>
      <c r="J158" s="1" t="s">
        <v>18</v>
      </c>
      <c r="K158" s="1">
        <v>2250</v>
      </c>
      <c r="L158" s="3">
        <f>IFERROR(--_xlfn.TEXTBEFORE(Table1[[#This Row],[slot_number]],"-"),9999)</f>
        <v>6</v>
      </c>
      <c r="M158" s="3">
        <f>IFERROR(--_xlfn.TEXTAFTER(Table1[[#This Row],[slot_number]],"-"),9999)</f>
        <v>7</v>
      </c>
      <c r="CV158" s="8"/>
      <c r="CW158" s="8"/>
    </row>
    <row r="159" spans="1:101" s="3" customFormat="1" x14ac:dyDescent="0.25">
      <c r="A159" s="1">
        <v>283</v>
      </c>
      <c r="B159" s="1" t="str">
        <f t="shared" si="2"/>
        <v>6</v>
      </c>
      <c r="C159" s="2" t="s">
        <v>486</v>
      </c>
      <c r="D159" s="1" t="s">
        <v>14</v>
      </c>
      <c r="E159" s="1" t="s">
        <v>487</v>
      </c>
      <c r="F159" s="1" t="str">
        <f>SUBSTITUTE(Table1[[#This Row],[asset_tag]], "-", "")</f>
        <v>DDC4CY002617</v>
      </c>
      <c r="G159" s="1" t="s">
        <v>488</v>
      </c>
      <c r="H159" s="1" t="str">
        <f>IFERROR(VLOOKUP(F159, [1]BQ25_laptop_data_mod!A:C, 3, FALSE), "no MAC found")</f>
        <v>10-98-19-4A-52-D1</v>
      </c>
      <c r="I159" s="1" t="s">
        <v>17</v>
      </c>
      <c r="J159" s="1" t="s">
        <v>18</v>
      </c>
      <c r="K159" s="1">
        <v>2250</v>
      </c>
      <c r="L159" s="3">
        <f>IFERROR(--_xlfn.TEXTBEFORE(Table1[[#This Row],[slot_number]],"-"),9999)</f>
        <v>6</v>
      </c>
      <c r="M159" s="3">
        <f>IFERROR(--_xlfn.TEXTAFTER(Table1[[#This Row],[slot_number]],"-"),9999)</f>
        <v>8</v>
      </c>
      <c r="CV159" s="8"/>
      <c r="CW159" s="8"/>
    </row>
    <row r="160" spans="1:101" s="3" customFormat="1" x14ac:dyDescent="0.25">
      <c r="A160" s="1">
        <v>283</v>
      </c>
      <c r="B160" s="1" t="str">
        <f t="shared" si="2"/>
        <v>6</v>
      </c>
      <c r="C160" s="2" t="s">
        <v>489</v>
      </c>
      <c r="D160" s="1" t="s">
        <v>14</v>
      </c>
      <c r="E160" s="1" t="s">
        <v>490</v>
      </c>
      <c r="F160" s="1" t="str">
        <f>SUBSTITUTE(Table1[[#This Row],[asset_tag]], "-", "")</f>
        <v>DDC4CY002585</v>
      </c>
      <c r="G160" s="1" t="s">
        <v>491</v>
      </c>
      <c r="H160" s="1" t="str">
        <f>IFERROR(VLOOKUP(F160, [1]BQ25_laptop_data_mod!A:C, 3, FALSE), "no MAC found")</f>
        <v>10-98-19-4A-65-D0</v>
      </c>
      <c r="I160" s="1" t="s">
        <v>17</v>
      </c>
      <c r="J160" s="1" t="s">
        <v>18</v>
      </c>
      <c r="K160" s="1">
        <v>2250</v>
      </c>
      <c r="L160" s="3">
        <f>IFERROR(--_xlfn.TEXTBEFORE(Table1[[#This Row],[slot_number]],"-"),9999)</f>
        <v>6</v>
      </c>
      <c r="M160" s="3">
        <f>IFERROR(--_xlfn.TEXTAFTER(Table1[[#This Row],[slot_number]],"-"),9999)</f>
        <v>9</v>
      </c>
      <c r="CV160" s="8"/>
      <c r="CW160" s="8"/>
    </row>
    <row r="161" spans="1:101" s="3" customFormat="1" x14ac:dyDescent="0.25">
      <c r="A161" s="1">
        <v>283</v>
      </c>
      <c r="B161" s="1" t="str">
        <f t="shared" si="2"/>
        <v>6</v>
      </c>
      <c r="C161" s="2" t="s">
        <v>492</v>
      </c>
      <c r="D161" s="1" t="s">
        <v>14</v>
      </c>
      <c r="E161" s="1" t="s">
        <v>493</v>
      </c>
      <c r="F161" s="1" t="str">
        <f>SUBSTITUTE(Table1[[#This Row],[asset_tag]], "-", "")</f>
        <v>DDC4CY002536</v>
      </c>
      <c r="G161" s="1" t="s">
        <v>494</v>
      </c>
      <c r="H161" s="1" t="str">
        <f>IFERROR(VLOOKUP(F161, [1]BQ25_laptop_data_mod!A:C, 3, FALSE), "no MAC found")</f>
        <v>10-98-19-4A-51-18</v>
      </c>
      <c r="I161" s="1" t="s">
        <v>17</v>
      </c>
      <c r="J161" s="1" t="s">
        <v>18</v>
      </c>
      <c r="K161" s="1">
        <v>2250</v>
      </c>
      <c r="L161" s="3">
        <f>IFERROR(--_xlfn.TEXTBEFORE(Table1[[#This Row],[slot_number]],"-"),9999)</f>
        <v>6</v>
      </c>
      <c r="M161" s="3">
        <f>IFERROR(--_xlfn.TEXTAFTER(Table1[[#This Row],[slot_number]],"-"),9999)</f>
        <v>10</v>
      </c>
      <c r="CV161" s="4"/>
      <c r="CW161" s="4"/>
    </row>
    <row r="162" spans="1:101" s="3" customFormat="1" x14ac:dyDescent="0.25">
      <c r="A162" s="1">
        <v>283</v>
      </c>
      <c r="B162" s="1" t="str">
        <f t="shared" si="2"/>
        <v>6</v>
      </c>
      <c r="C162" s="2" t="s">
        <v>495</v>
      </c>
      <c r="D162" s="1" t="s">
        <v>14</v>
      </c>
      <c r="E162" s="1" t="s">
        <v>496</v>
      </c>
      <c r="F162" s="1" t="str">
        <f>SUBSTITUTE(Table1[[#This Row],[asset_tag]], "-", "")</f>
        <v>DDC4CY002794</v>
      </c>
      <c r="G162" s="1" t="s">
        <v>497</v>
      </c>
      <c r="H162" s="1" t="str">
        <f>IFERROR(VLOOKUP(F162, [1]BQ25_laptop_data_mod!A:C, 3, FALSE), "no MAC found")</f>
        <v>AC-B4-80-45-6B-1C</v>
      </c>
      <c r="I162" s="1" t="s">
        <v>17</v>
      </c>
      <c r="J162" s="1" t="s">
        <v>18</v>
      </c>
      <c r="K162" s="1">
        <v>2335</v>
      </c>
      <c r="L162" s="3">
        <f>IFERROR(--_xlfn.TEXTBEFORE(Table1[[#This Row],[slot_number]],"-"),9999)</f>
        <v>6</v>
      </c>
      <c r="M162" s="3">
        <f>IFERROR(--_xlfn.TEXTAFTER(Table1[[#This Row],[slot_number]],"-"),9999)</f>
        <v>11</v>
      </c>
    </row>
    <row r="163" spans="1:101" s="3" customFormat="1" x14ac:dyDescent="0.25">
      <c r="A163" s="1">
        <v>283</v>
      </c>
      <c r="B163" s="1" t="str">
        <f t="shared" si="2"/>
        <v>6</v>
      </c>
      <c r="C163" s="2" t="s">
        <v>498</v>
      </c>
      <c r="D163" s="1" t="s">
        <v>14</v>
      </c>
      <c r="E163" s="1" t="s">
        <v>499</v>
      </c>
      <c r="F163" s="1" t="str">
        <f>SUBSTITUTE(Table1[[#This Row],[asset_tag]], "-", "")</f>
        <v>DDC4CY002575</v>
      </c>
      <c r="G163" s="1" t="s">
        <v>500</v>
      </c>
      <c r="H163" s="1" t="str">
        <f>IFERROR(VLOOKUP(F163, [1]BQ25_laptop_data_mod!A:C, 3, FALSE), "no MAC found")</f>
        <v>10-98-19-4A-52-0D</v>
      </c>
      <c r="I163" s="1" t="s">
        <v>17</v>
      </c>
      <c r="J163" s="1" t="s">
        <v>18</v>
      </c>
      <c r="K163" s="1">
        <v>2250</v>
      </c>
      <c r="L163" s="3">
        <f>IFERROR(--_xlfn.TEXTBEFORE(Table1[[#This Row],[slot_number]],"-"),9999)</f>
        <v>6</v>
      </c>
      <c r="M163" s="3">
        <f>IFERROR(--_xlfn.TEXTAFTER(Table1[[#This Row],[slot_number]],"-"),9999)</f>
        <v>12</v>
      </c>
      <c r="CT163" s="4"/>
    </row>
    <row r="164" spans="1:101" s="3" customFormat="1" x14ac:dyDescent="0.25">
      <c r="A164" s="1">
        <v>283</v>
      </c>
      <c r="B164" s="1" t="str">
        <f t="shared" si="2"/>
        <v>6</v>
      </c>
      <c r="C164" s="2" t="s">
        <v>501</v>
      </c>
      <c r="D164" s="1" t="s">
        <v>14</v>
      </c>
      <c r="E164" s="1" t="s">
        <v>502</v>
      </c>
      <c r="F164" s="1" t="str">
        <f>SUBSTITUTE(Table1[[#This Row],[asset_tag]], "-", "")</f>
        <v>DDC4CY002515</v>
      </c>
      <c r="G164" s="1" t="s">
        <v>503</v>
      </c>
      <c r="H164" s="1" t="str">
        <f>IFERROR(VLOOKUP(F164, [1]BQ25_laptop_data_mod!A:C, 3, FALSE), "no MAC found")</f>
        <v>10-98-19-4A-51-35</v>
      </c>
      <c r="I164" s="1" t="s">
        <v>17</v>
      </c>
      <c r="J164" s="1" t="s">
        <v>18</v>
      </c>
      <c r="K164" s="1">
        <v>2250</v>
      </c>
      <c r="L164" s="3">
        <f>IFERROR(--_xlfn.TEXTBEFORE(Table1[[#This Row],[slot_number]],"-"),9999)</f>
        <v>6</v>
      </c>
      <c r="M164" s="3">
        <f>IFERROR(--_xlfn.TEXTAFTER(Table1[[#This Row],[slot_number]],"-"),9999)</f>
        <v>13</v>
      </c>
      <c r="CT164" s="5"/>
    </row>
    <row r="165" spans="1:101" s="3" customFormat="1" x14ac:dyDescent="0.25">
      <c r="A165" s="1">
        <v>283</v>
      </c>
      <c r="B165" s="1" t="str">
        <f t="shared" si="2"/>
        <v>6</v>
      </c>
      <c r="C165" s="2" t="s">
        <v>504</v>
      </c>
      <c r="D165" s="1" t="s">
        <v>14</v>
      </c>
      <c r="E165" s="1" t="s">
        <v>505</v>
      </c>
      <c r="F165" s="1" t="str">
        <f>SUBSTITUTE(Table1[[#This Row],[asset_tag]], "-", "")</f>
        <v>DDC4CY002516</v>
      </c>
      <c r="G165" s="1" t="s">
        <v>506</v>
      </c>
      <c r="H165" s="1" t="str">
        <f>IFERROR(VLOOKUP(F165, [1]BQ25_laptop_data_mod!A:C, 3, FALSE), "no MAC found")</f>
        <v>10-98-19-4A-51-A5</v>
      </c>
      <c r="I165" s="1" t="s">
        <v>17</v>
      </c>
      <c r="J165" s="1" t="s">
        <v>18</v>
      </c>
      <c r="K165" s="1">
        <v>2250</v>
      </c>
      <c r="L165" s="3">
        <f>IFERROR(--_xlfn.TEXTBEFORE(Table1[[#This Row],[slot_number]],"-"),9999)</f>
        <v>6</v>
      </c>
      <c r="M165" s="3">
        <f>IFERROR(--_xlfn.TEXTAFTER(Table1[[#This Row],[slot_number]],"-"),9999)</f>
        <v>14</v>
      </c>
      <c r="CT165" s="4"/>
    </row>
    <row r="166" spans="1:101" s="3" customFormat="1" x14ac:dyDescent="0.25">
      <c r="A166" s="1">
        <v>283</v>
      </c>
      <c r="B166" s="1" t="str">
        <f t="shared" si="2"/>
        <v>6</v>
      </c>
      <c r="C166" s="2" t="s">
        <v>507</v>
      </c>
      <c r="D166" s="1" t="s">
        <v>14</v>
      </c>
      <c r="E166" s="1" t="s">
        <v>508</v>
      </c>
      <c r="F166" s="1" t="str">
        <f>SUBSTITUTE(Table1[[#This Row],[asset_tag]], "-", "")</f>
        <v>DDC4CY002628</v>
      </c>
      <c r="G166" s="1" t="s">
        <v>509</v>
      </c>
      <c r="H166" s="1" t="str">
        <f>IFERROR(VLOOKUP(F166, [1]BQ25_laptop_data_mod!A:C, 3, FALSE), "no MAC found")</f>
        <v>10-98-19-4A-50-FD</v>
      </c>
      <c r="I166" s="1" t="s">
        <v>17</v>
      </c>
      <c r="J166" s="1" t="s">
        <v>18</v>
      </c>
      <c r="K166" s="1">
        <v>2250</v>
      </c>
      <c r="L166" s="3">
        <f>IFERROR(--_xlfn.TEXTBEFORE(Table1[[#This Row],[slot_number]],"-"),9999)</f>
        <v>6</v>
      </c>
      <c r="M166" s="3">
        <f>IFERROR(--_xlfn.TEXTAFTER(Table1[[#This Row],[slot_number]],"-"),9999)</f>
        <v>15</v>
      </c>
      <c r="CT166" s="5"/>
    </row>
    <row r="167" spans="1:101" s="3" customFormat="1" x14ac:dyDescent="0.25">
      <c r="A167" s="1">
        <v>283</v>
      </c>
      <c r="B167" s="1" t="str">
        <f t="shared" si="2"/>
        <v>6</v>
      </c>
      <c r="C167" s="2" t="s">
        <v>510</v>
      </c>
      <c r="D167" s="1" t="s">
        <v>14</v>
      </c>
      <c r="E167" s="1" t="s">
        <v>511</v>
      </c>
      <c r="F167" s="1" t="str">
        <f>SUBSTITUTE(Table1[[#This Row],[asset_tag]], "-", "")</f>
        <v>DDC4CY002650</v>
      </c>
      <c r="G167" s="1" t="s">
        <v>512</v>
      </c>
      <c r="H167" s="1" t="str">
        <f>IFERROR(VLOOKUP(F167, [1]BQ25_laptop_data_mod!A:C, 3, FALSE), "no MAC found")</f>
        <v>10-98-19-4A-51-B6</v>
      </c>
      <c r="I167" s="1" t="s">
        <v>17</v>
      </c>
      <c r="J167" s="1" t="s">
        <v>18</v>
      </c>
      <c r="K167" s="1">
        <v>2250</v>
      </c>
      <c r="L167" s="3">
        <f>IFERROR(--_xlfn.TEXTBEFORE(Table1[[#This Row],[slot_number]],"-"),9999)</f>
        <v>6</v>
      </c>
      <c r="M167" s="3">
        <f>IFERROR(--_xlfn.TEXTAFTER(Table1[[#This Row],[slot_number]],"-"),9999)</f>
        <v>16</v>
      </c>
    </row>
    <row r="168" spans="1:101" s="3" customFormat="1" x14ac:dyDescent="0.25">
      <c r="A168" s="1">
        <v>283</v>
      </c>
      <c r="B168" s="1" t="str">
        <f t="shared" si="2"/>
        <v>6</v>
      </c>
      <c r="C168" s="2" t="s">
        <v>513</v>
      </c>
      <c r="D168" s="1" t="s">
        <v>14</v>
      </c>
      <c r="E168" s="1" t="s">
        <v>514</v>
      </c>
      <c r="F168" s="1" t="str">
        <f>SUBSTITUTE(Table1[[#This Row],[asset_tag]], "-", "")</f>
        <v>DDC4CY002531</v>
      </c>
      <c r="G168" s="1" t="s">
        <v>515</v>
      </c>
      <c r="H168" s="1" t="str">
        <f>IFERROR(VLOOKUP(F168, [1]BQ25_laptop_data_mod!A:C, 3, FALSE), "no MAC found")</f>
        <v>10-98-19-4A-51-89</v>
      </c>
      <c r="I168" s="1" t="s">
        <v>17</v>
      </c>
      <c r="J168" s="1" t="s">
        <v>18</v>
      </c>
      <c r="K168" s="1">
        <v>2250</v>
      </c>
      <c r="L168" s="3">
        <f>IFERROR(--_xlfn.TEXTBEFORE(Table1[[#This Row],[slot_number]],"-"),9999)</f>
        <v>6</v>
      </c>
      <c r="M168" s="3">
        <f>IFERROR(--_xlfn.TEXTAFTER(Table1[[#This Row],[slot_number]],"-"),9999)</f>
        <v>17</v>
      </c>
      <c r="CV168" s="5"/>
      <c r="CW168" s="5"/>
    </row>
    <row r="169" spans="1:101" s="7" customFormat="1" x14ac:dyDescent="0.25">
      <c r="A169" s="1">
        <v>283</v>
      </c>
      <c r="B169" s="1" t="str">
        <f t="shared" si="2"/>
        <v>6</v>
      </c>
      <c r="C169" s="2" t="s">
        <v>516</v>
      </c>
      <c r="D169" s="1" t="s">
        <v>14</v>
      </c>
      <c r="E169" s="1" t="s">
        <v>517</v>
      </c>
      <c r="F169" s="1" t="str">
        <f>SUBSTITUTE(Table1[[#This Row],[asset_tag]], "-", "")</f>
        <v>DDC4CY002560</v>
      </c>
      <c r="G169" s="1" t="s">
        <v>518</v>
      </c>
      <c r="H169" s="1" t="str">
        <f>IFERROR(VLOOKUP(F169, [1]BQ25_laptop_data_mod!A:C, 3, FALSE), "no MAC found")</f>
        <v>10-98-19-4A-52-37</v>
      </c>
      <c r="I169" s="1" t="s">
        <v>17</v>
      </c>
      <c r="J169" s="1" t="s">
        <v>18</v>
      </c>
      <c r="K169" s="1">
        <v>2250</v>
      </c>
      <c r="L169" s="3">
        <f>IFERROR(--_xlfn.TEXTBEFORE(Table1[[#This Row],[slot_number]],"-"),9999)</f>
        <v>6</v>
      </c>
      <c r="M169" s="3">
        <f>IFERROR(--_xlfn.TEXTAFTER(Table1[[#This Row],[slot_number]],"-"),9999)</f>
        <v>18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5"/>
      <c r="CU169" s="3"/>
      <c r="CV169" s="3"/>
      <c r="CW169" s="3"/>
    </row>
    <row r="170" spans="1:101" s="3" customFormat="1" x14ac:dyDescent="0.25">
      <c r="A170" s="1">
        <v>283</v>
      </c>
      <c r="B170" s="1" t="str">
        <f t="shared" si="2"/>
        <v>7</v>
      </c>
      <c r="C170" s="2" t="s">
        <v>519</v>
      </c>
      <c r="D170" s="1" t="s">
        <v>14</v>
      </c>
      <c r="E170" s="1" t="s">
        <v>520</v>
      </c>
      <c r="F170" s="1" t="str">
        <f>SUBSTITUTE(Table1[[#This Row],[asset_tag]], "-", "")</f>
        <v>DDC4CY002543</v>
      </c>
      <c r="G170" s="1" t="s">
        <v>521</v>
      </c>
      <c r="H170" s="1" t="str">
        <f>IFERROR(VLOOKUP(F170, [1]BQ25_laptop_data_mod!A:C, 3, FALSE), "no MAC found")</f>
        <v>10-98-19-4A-51-8C</v>
      </c>
      <c r="I170" s="1" t="s">
        <v>17</v>
      </c>
      <c r="J170" s="1" t="s">
        <v>18</v>
      </c>
      <c r="K170" s="1">
        <v>2250</v>
      </c>
      <c r="L170" s="3">
        <f>IFERROR(--_xlfn.TEXTBEFORE(Table1[[#This Row],[slot_number]],"-"),9999)</f>
        <v>7</v>
      </c>
      <c r="M170" s="3">
        <f>IFERROR(--_xlfn.TEXTAFTER(Table1[[#This Row],[slot_number]],"-"),9999)</f>
        <v>1</v>
      </c>
      <c r="CT170" s="5"/>
      <c r="CW170" s="4"/>
    </row>
    <row r="171" spans="1:101" s="3" customFormat="1" x14ac:dyDescent="0.25">
      <c r="A171" s="1">
        <v>283</v>
      </c>
      <c r="B171" s="1" t="str">
        <f t="shared" si="2"/>
        <v>7</v>
      </c>
      <c r="C171" s="2" t="s">
        <v>522</v>
      </c>
      <c r="D171" s="1" t="s">
        <v>14</v>
      </c>
      <c r="E171" s="1" t="s">
        <v>523</v>
      </c>
      <c r="F171" s="1" t="str">
        <f>SUBSTITUTE(Table1[[#This Row],[asset_tag]], "-", "")</f>
        <v>DDC4CY002558</v>
      </c>
      <c r="G171" s="1" t="s">
        <v>524</v>
      </c>
      <c r="H171" s="1" t="str">
        <f>IFERROR(VLOOKUP(F171, [1]BQ25_laptop_data_mod!A:C, 3, FALSE), "no MAC found")</f>
        <v>10-98-19-4A-52-1B</v>
      </c>
      <c r="I171" s="1" t="s">
        <v>17</v>
      </c>
      <c r="J171" s="1" t="s">
        <v>18</v>
      </c>
      <c r="K171" s="1">
        <v>2250</v>
      </c>
      <c r="L171" s="3">
        <f>IFERROR(--_xlfn.TEXTBEFORE(Table1[[#This Row],[slot_number]],"-"),9999)</f>
        <v>7</v>
      </c>
      <c r="M171" s="3">
        <f>IFERROR(--_xlfn.TEXTAFTER(Table1[[#This Row],[slot_number]],"-"),9999)</f>
        <v>2</v>
      </c>
      <c r="CU171" s="5"/>
    </row>
    <row r="172" spans="1:101" s="3" customFormat="1" x14ac:dyDescent="0.25">
      <c r="A172" s="1">
        <v>283</v>
      </c>
      <c r="B172" s="1" t="str">
        <f t="shared" si="2"/>
        <v>7</v>
      </c>
      <c r="C172" s="2" t="s">
        <v>525</v>
      </c>
      <c r="D172" s="1" t="s">
        <v>14</v>
      </c>
      <c r="E172" s="1" t="s">
        <v>526</v>
      </c>
      <c r="F172" s="1" t="str">
        <f>SUBSTITUTE(Table1[[#This Row],[asset_tag]], "-", "")</f>
        <v>DDC4CY002532</v>
      </c>
      <c r="G172" s="1" t="s">
        <v>527</v>
      </c>
      <c r="H172" s="1" t="str">
        <f>IFERROR(VLOOKUP(F172, [1]BQ25_laptop_data_mod!A:C, 3, FALSE), "no MAC found")</f>
        <v>10-98-19-4A-51-24</v>
      </c>
      <c r="I172" s="1" t="s">
        <v>17</v>
      </c>
      <c r="J172" s="1" t="s">
        <v>18</v>
      </c>
      <c r="K172" s="1">
        <v>2250</v>
      </c>
      <c r="L172" s="3">
        <f>IFERROR(--_xlfn.TEXTBEFORE(Table1[[#This Row],[slot_number]],"-"),9999)</f>
        <v>7</v>
      </c>
      <c r="M172" s="3">
        <f>IFERROR(--_xlfn.TEXTAFTER(Table1[[#This Row],[slot_number]],"-"),9999)</f>
        <v>3</v>
      </c>
      <c r="CT172" s="5"/>
    </row>
    <row r="173" spans="1:101" s="3" customFormat="1" x14ac:dyDescent="0.25">
      <c r="A173" s="1">
        <v>283</v>
      </c>
      <c r="B173" s="1" t="str">
        <f t="shared" si="2"/>
        <v>7</v>
      </c>
      <c r="C173" s="2" t="s">
        <v>528</v>
      </c>
      <c r="D173" s="1" t="s">
        <v>14</v>
      </c>
      <c r="E173" s="1" t="s">
        <v>529</v>
      </c>
      <c r="F173" s="1" t="str">
        <f>SUBSTITUTE(Table1[[#This Row],[asset_tag]], "-", "")</f>
        <v>DDC4CY002624</v>
      </c>
      <c r="G173" s="1" t="s">
        <v>530</v>
      </c>
      <c r="H173" s="1" t="str">
        <f>IFERROR(VLOOKUP(F173, [1]BQ25_laptop_data_mod!A:C, 3, FALSE), "no MAC found")</f>
        <v>10-98-19-4A-67-1C</v>
      </c>
      <c r="I173" s="1" t="s">
        <v>17</v>
      </c>
      <c r="J173" s="1" t="s">
        <v>18</v>
      </c>
      <c r="K173" s="1">
        <v>2250</v>
      </c>
      <c r="L173" s="3">
        <f>IFERROR(--_xlfn.TEXTBEFORE(Table1[[#This Row],[slot_number]],"-"),9999)</f>
        <v>7</v>
      </c>
      <c r="M173" s="3">
        <f>IFERROR(--_xlfn.TEXTAFTER(Table1[[#This Row],[slot_number]],"-"),9999)</f>
        <v>4</v>
      </c>
      <c r="CT173" s="5"/>
      <c r="CW173" s="4"/>
    </row>
    <row r="174" spans="1:101" s="3" customFormat="1" x14ac:dyDescent="0.25">
      <c r="A174" s="1">
        <v>283</v>
      </c>
      <c r="B174" s="1" t="str">
        <f t="shared" si="2"/>
        <v>7</v>
      </c>
      <c r="C174" s="2" t="s">
        <v>531</v>
      </c>
      <c r="D174" s="1" t="s">
        <v>14</v>
      </c>
      <c r="E174" s="1" t="s">
        <v>532</v>
      </c>
      <c r="F174" s="1" t="str">
        <f>SUBSTITUTE(Table1[[#This Row],[asset_tag]], "-", "")</f>
        <v>DDC4CY002666</v>
      </c>
      <c r="G174" s="1" t="s">
        <v>533</v>
      </c>
      <c r="H174" s="1" t="str">
        <f>IFERROR(VLOOKUP(F174, [1]BQ25_laptop_data_mod!A:C, 3, FALSE), "no MAC found")</f>
        <v>10-98-19-4A-52-FF</v>
      </c>
      <c r="I174" s="1" t="s">
        <v>17</v>
      </c>
      <c r="J174" s="1" t="s">
        <v>18</v>
      </c>
      <c r="K174" s="1">
        <v>2250</v>
      </c>
      <c r="L174" s="3">
        <f>IFERROR(--_xlfn.TEXTBEFORE(Table1[[#This Row],[slot_number]],"-"),9999)</f>
        <v>7</v>
      </c>
      <c r="M174" s="3">
        <f>IFERROR(--_xlfn.TEXTAFTER(Table1[[#This Row],[slot_number]],"-"),9999)</f>
        <v>5</v>
      </c>
      <c r="CT174" s="5"/>
    </row>
    <row r="175" spans="1:101" s="3" customFormat="1" x14ac:dyDescent="0.25">
      <c r="A175" s="1">
        <v>283</v>
      </c>
      <c r="B175" s="1" t="str">
        <f t="shared" si="2"/>
        <v>7</v>
      </c>
      <c r="C175" s="2" t="s">
        <v>534</v>
      </c>
      <c r="D175" s="1" t="s">
        <v>14</v>
      </c>
      <c r="E175" s="1" t="s">
        <v>535</v>
      </c>
      <c r="F175" s="1" t="str">
        <f>SUBSTITUTE(Table1[[#This Row],[asset_tag]], "-", "")</f>
        <v>DDC4CY002546</v>
      </c>
      <c r="G175" s="1" t="s">
        <v>536</v>
      </c>
      <c r="H175" s="1" t="str">
        <f>IFERROR(VLOOKUP(F175, [1]BQ25_laptop_data_mod!A:C, 3, FALSE), "no MAC found")</f>
        <v>10-98-19-4A-51-AE</v>
      </c>
      <c r="I175" s="1" t="s">
        <v>17</v>
      </c>
      <c r="J175" s="1" t="s">
        <v>18</v>
      </c>
      <c r="K175" s="1">
        <v>2250</v>
      </c>
      <c r="L175" s="3">
        <f>IFERROR(--_xlfn.TEXTBEFORE(Table1[[#This Row],[slot_number]],"-"),9999)</f>
        <v>7</v>
      </c>
      <c r="M175" s="3">
        <f>IFERROR(--_xlfn.TEXTAFTER(Table1[[#This Row],[slot_number]],"-"),9999)</f>
        <v>6</v>
      </c>
      <c r="CT175" s="5"/>
    </row>
    <row r="176" spans="1:101" s="3" customFormat="1" x14ac:dyDescent="0.25">
      <c r="A176" s="1">
        <v>283</v>
      </c>
      <c r="B176" s="1" t="str">
        <f t="shared" si="2"/>
        <v>7</v>
      </c>
      <c r="C176" s="2" t="s">
        <v>537</v>
      </c>
      <c r="D176" s="1" t="s">
        <v>14</v>
      </c>
      <c r="E176" s="1" t="s">
        <v>538</v>
      </c>
      <c r="F176" s="1" t="str">
        <f>SUBSTITUTE(Table1[[#This Row],[asset_tag]], "-", "")</f>
        <v>DDC4CY002592</v>
      </c>
      <c r="G176" s="1" t="s">
        <v>539</v>
      </c>
      <c r="H176" s="1" t="str">
        <f>IFERROR(VLOOKUP(F176, [1]BQ25_laptop_data_mod!A:C, 3, FALSE), "no MAC found")</f>
        <v>10-98-19-4A-50-8B</v>
      </c>
      <c r="I176" s="1" t="s">
        <v>17</v>
      </c>
      <c r="J176" s="1" t="s">
        <v>18</v>
      </c>
      <c r="K176" s="1">
        <v>2250</v>
      </c>
      <c r="L176" s="3">
        <f>IFERROR(--_xlfn.TEXTBEFORE(Table1[[#This Row],[slot_number]],"-"),9999)</f>
        <v>7</v>
      </c>
      <c r="M176" s="3">
        <f>IFERROR(--_xlfn.TEXTAFTER(Table1[[#This Row],[slot_number]],"-"),9999)</f>
        <v>7</v>
      </c>
    </row>
    <row r="177" spans="1:101" s="3" customFormat="1" x14ac:dyDescent="0.25">
      <c r="A177" s="1">
        <v>283</v>
      </c>
      <c r="B177" s="1" t="str">
        <f t="shared" si="2"/>
        <v>7</v>
      </c>
      <c r="C177" s="2" t="s">
        <v>540</v>
      </c>
      <c r="D177" s="1" t="s">
        <v>14</v>
      </c>
      <c r="E177" s="1" t="s">
        <v>541</v>
      </c>
      <c r="F177" s="1" t="str">
        <f>SUBSTITUTE(Table1[[#This Row],[asset_tag]], "-", "")</f>
        <v>DDC4CY002581</v>
      </c>
      <c r="G177" s="1" t="s">
        <v>542</v>
      </c>
      <c r="H177" s="1" t="str">
        <f>IFERROR(VLOOKUP(F177, [1]BQ25_laptop_data_mod!A:C, 3, FALSE), "no MAC found")</f>
        <v>10-98-19-4A-50-BA</v>
      </c>
      <c r="I177" s="1" t="s">
        <v>17</v>
      </c>
      <c r="J177" s="1" t="s">
        <v>18</v>
      </c>
      <c r="K177" s="1">
        <v>2250</v>
      </c>
      <c r="L177" s="3">
        <f>IFERROR(--_xlfn.TEXTBEFORE(Table1[[#This Row],[slot_number]],"-"),9999)</f>
        <v>7</v>
      </c>
      <c r="M177" s="3">
        <f>IFERROR(--_xlfn.TEXTAFTER(Table1[[#This Row],[slot_number]],"-"),9999)</f>
        <v>8</v>
      </c>
    </row>
    <row r="178" spans="1:101" s="3" customFormat="1" x14ac:dyDescent="0.25">
      <c r="A178" s="1">
        <v>283</v>
      </c>
      <c r="B178" s="1" t="str">
        <f t="shared" si="2"/>
        <v>7</v>
      </c>
      <c r="C178" s="2" t="s">
        <v>543</v>
      </c>
      <c r="D178" s="1" t="s">
        <v>14</v>
      </c>
      <c r="E178" s="1" t="s">
        <v>544</v>
      </c>
      <c r="F178" s="1" t="str">
        <f>SUBSTITUTE(Table1[[#This Row],[asset_tag]], "-", "")</f>
        <v>DDC4CY002664</v>
      </c>
      <c r="G178" s="1" t="s">
        <v>545</v>
      </c>
      <c r="H178" s="1" t="str">
        <f>IFERROR(VLOOKUP(F178, [1]BQ25_laptop_data_mod!A:C, 3, FALSE), "no MAC found")</f>
        <v>10-98-19-4A-51-20</v>
      </c>
      <c r="I178" s="1" t="s">
        <v>17</v>
      </c>
      <c r="J178" s="1" t="s">
        <v>18</v>
      </c>
      <c r="K178" s="1">
        <v>2250</v>
      </c>
      <c r="L178" s="3">
        <f>IFERROR(--_xlfn.TEXTBEFORE(Table1[[#This Row],[slot_number]],"-"),9999)</f>
        <v>7</v>
      </c>
      <c r="M178" s="3">
        <f>IFERROR(--_xlfn.TEXTAFTER(Table1[[#This Row],[slot_number]],"-"),9999)</f>
        <v>9</v>
      </c>
      <c r="CT178" s="5"/>
    </row>
    <row r="179" spans="1:101" s="3" customFormat="1" x14ac:dyDescent="0.25">
      <c r="A179" s="1">
        <v>283</v>
      </c>
      <c r="B179" s="1" t="str">
        <f t="shared" si="2"/>
        <v>7</v>
      </c>
      <c r="C179" s="2" t="s">
        <v>546</v>
      </c>
      <c r="D179" s="1" t="s">
        <v>14</v>
      </c>
      <c r="E179" s="1" t="s">
        <v>547</v>
      </c>
      <c r="F179" s="1" t="str">
        <f>SUBSTITUTE(Table1[[#This Row],[asset_tag]], "-", "")</f>
        <v>DDC4CY002641</v>
      </c>
      <c r="G179" s="1" t="s">
        <v>548</v>
      </c>
      <c r="H179" s="1" t="str">
        <f>IFERROR(VLOOKUP(F179, [1]BQ25_laptop_data_mod!A:C, 3, FALSE), "no MAC found")</f>
        <v>10-98-19-4A-52-23</v>
      </c>
      <c r="I179" s="1" t="s">
        <v>17</v>
      </c>
      <c r="J179" s="1" t="s">
        <v>18</v>
      </c>
      <c r="K179" s="1">
        <v>2250</v>
      </c>
      <c r="L179" s="3">
        <f>IFERROR(--_xlfn.TEXTBEFORE(Table1[[#This Row],[slot_number]],"-"),9999)</f>
        <v>7</v>
      </c>
      <c r="M179" s="3">
        <f>IFERROR(--_xlfn.TEXTAFTER(Table1[[#This Row],[slot_number]],"-"),9999)</f>
        <v>10</v>
      </c>
      <c r="CT179" s="5"/>
    </row>
    <row r="180" spans="1:101" s="5" customFormat="1" x14ac:dyDescent="0.25">
      <c r="A180" s="1">
        <v>283</v>
      </c>
      <c r="B180" s="1" t="str">
        <f t="shared" si="2"/>
        <v>7</v>
      </c>
      <c r="C180" s="2" t="s">
        <v>549</v>
      </c>
      <c r="D180" s="1" t="s">
        <v>14</v>
      </c>
      <c r="E180" s="1" t="s">
        <v>550</v>
      </c>
      <c r="F180" s="1" t="str">
        <f>SUBSTITUTE(Table1[[#This Row],[asset_tag]], "-", "")</f>
        <v>DDC4CY002736</v>
      </c>
      <c r="G180" s="1" t="s">
        <v>551</v>
      </c>
      <c r="H180" s="1" t="str">
        <f>IFERROR(VLOOKUP(F180, [1]BQ25_laptop_data_mod!A:C, 3, FALSE), "no MAC found")</f>
        <v>AC-B4-80-45-6B-A8</v>
      </c>
      <c r="I180" s="1" t="s">
        <v>17</v>
      </c>
      <c r="J180" s="1" t="s">
        <v>18</v>
      </c>
      <c r="K180" s="1">
        <v>2335</v>
      </c>
      <c r="L180" s="3">
        <f>IFERROR(--_xlfn.TEXTBEFORE(Table1[[#This Row],[slot_number]],"-"),9999)</f>
        <v>7</v>
      </c>
      <c r="M180" s="3">
        <f>IFERROR(--_xlfn.TEXTAFTER(Table1[[#This Row],[slot_number]],"-"),9999)</f>
        <v>11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U180" s="3"/>
      <c r="CV180" s="3"/>
      <c r="CW180" s="3"/>
    </row>
    <row r="181" spans="1:101" s="5" customFormat="1" x14ac:dyDescent="0.25">
      <c r="A181" s="1">
        <v>283</v>
      </c>
      <c r="B181" s="1" t="str">
        <f t="shared" si="2"/>
        <v>7</v>
      </c>
      <c r="C181" s="2" t="s">
        <v>552</v>
      </c>
      <c r="D181" s="1" t="s">
        <v>14</v>
      </c>
      <c r="E181" s="1" t="s">
        <v>553</v>
      </c>
      <c r="F181" s="1" t="str">
        <f>SUBSTITUTE(Table1[[#This Row],[asset_tag]], "-", "")</f>
        <v>DDC4CY002748</v>
      </c>
      <c r="G181" s="1" t="s">
        <v>554</v>
      </c>
      <c r="H181" s="1" t="str">
        <f>IFERROR(VLOOKUP(F181, [1]BQ25_laptop_data_mod!A:C, 3, FALSE), "no MAC found")</f>
        <v>AC-B4-80-45-6B-57</v>
      </c>
      <c r="I181" s="1" t="s">
        <v>17</v>
      </c>
      <c r="J181" s="1" t="s">
        <v>18</v>
      </c>
      <c r="K181" s="1">
        <v>2335</v>
      </c>
      <c r="L181" s="3">
        <f>IFERROR(--_xlfn.TEXTBEFORE(Table1[[#This Row],[slot_number]],"-"),9999)</f>
        <v>7</v>
      </c>
      <c r="M181" s="3">
        <f>IFERROR(--_xlfn.TEXTAFTER(Table1[[#This Row],[slot_number]],"-"),9999)</f>
        <v>12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U181" s="3"/>
      <c r="CV181" s="3"/>
      <c r="CW181" s="3"/>
    </row>
    <row r="182" spans="1:101" s="5" customFormat="1" x14ac:dyDescent="0.25">
      <c r="A182" s="1">
        <v>283</v>
      </c>
      <c r="B182" s="1" t="str">
        <f t="shared" si="2"/>
        <v>7</v>
      </c>
      <c r="C182" s="2" t="s">
        <v>555</v>
      </c>
      <c r="D182" s="1" t="s">
        <v>14</v>
      </c>
      <c r="E182" s="1" t="s">
        <v>556</v>
      </c>
      <c r="F182" s="1" t="str">
        <f>SUBSTITUTE(Table1[[#This Row],[asset_tag]], "-", "")</f>
        <v>DDC4CY002545</v>
      </c>
      <c r="G182" s="1" t="s">
        <v>557</v>
      </c>
      <c r="H182" s="1" t="str">
        <f>IFERROR(VLOOKUP(F182, [1]BQ25_laptop_data_mod!A:C, 3, FALSE), "no MAC found")</f>
        <v>10-98-19-4A-52-0B</v>
      </c>
      <c r="I182" s="1" t="s">
        <v>17</v>
      </c>
      <c r="J182" s="1" t="s">
        <v>18</v>
      </c>
      <c r="K182" s="1">
        <v>2250</v>
      </c>
      <c r="L182" s="3">
        <f>IFERROR(--_xlfn.TEXTBEFORE(Table1[[#This Row],[slot_number]],"-"),9999)</f>
        <v>7</v>
      </c>
      <c r="M182" s="3">
        <f>IFERROR(--_xlfn.TEXTAFTER(Table1[[#This Row],[slot_number]],"-"),9999)</f>
        <v>13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U182" s="3"/>
      <c r="CV182" s="3"/>
      <c r="CW182" s="3"/>
    </row>
    <row r="183" spans="1:101" s="3" customFormat="1" x14ac:dyDescent="0.25">
      <c r="A183" s="1">
        <v>283</v>
      </c>
      <c r="B183" s="1" t="str">
        <f t="shared" si="2"/>
        <v>7</v>
      </c>
      <c r="C183" s="2" t="s">
        <v>558</v>
      </c>
      <c r="D183" s="1" t="s">
        <v>14</v>
      </c>
      <c r="E183" s="1" t="s">
        <v>559</v>
      </c>
      <c r="F183" s="1" t="str">
        <f>SUBSTITUTE(Table1[[#This Row],[asset_tag]], "-", "")</f>
        <v>DDC4CY002563</v>
      </c>
      <c r="G183" s="1" t="s">
        <v>560</v>
      </c>
      <c r="H183" s="1" t="str">
        <f>IFERROR(VLOOKUP(F183, [1]BQ25_laptop_data_mod!A:C, 3, FALSE), "no MAC found")</f>
        <v>10-98-19-4A-51-47</v>
      </c>
      <c r="I183" s="1" t="s">
        <v>17</v>
      </c>
      <c r="J183" s="1" t="s">
        <v>18</v>
      </c>
      <c r="K183" s="1">
        <v>2250</v>
      </c>
      <c r="L183" s="3">
        <f>IFERROR(--_xlfn.TEXTBEFORE(Table1[[#This Row],[slot_number]],"-"),9999)</f>
        <v>7</v>
      </c>
      <c r="M183" s="3">
        <f>IFERROR(--_xlfn.TEXTAFTER(Table1[[#This Row],[slot_number]],"-"),9999)</f>
        <v>14</v>
      </c>
      <c r="CT183" s="5"/>
    </row>
    <row r="184" spans="1:101" s="5" customFormat="1" x14ac:dyDescent="0.25">
      <c r="A184" s="1">
        <v>283</v>
      </c>
      <c r="B184" s="1" t="str">
        <f t="shared" si="2"/>
        <v>7</v>
      </c>
      <c r="C184" s="2" t="s">
        <v>561</v>
      </c>
      <c r="D184" s="1" t="s">
        <v>14</v>
      </c>
      <c r="E184" s="1" t="s">
        <v>562</v>
      </c>
      <c r="F184" s="1" t="str">
        <f>SUBSTITUTE(Table1[[#This Row],[asset_tag]], "-", "")</f>
        <v>DDC4CY002568</v>
      </c>
      <c r="G184" s="1" t="s">
        <v>563</v>
      </c>
      <c r="H184" s="1" t="str">
        <f>IFERROR(VLOOKUP(F184, [1]BQ25_laptop_data_mod!A:C, 3, FALSE), "no MAC found")</f>
        <v>10-98-19-4A-65-60</v>
      </c>
      <c r="I184" s="1" t="s">
        <v>17</v>
      </c>
      <c r="J184" s="1" t="s">
        <v>18</v>
      </c>
      <c r="K184" s="1">
        <v>2250</v>
      </c>
      <c r="L184" s="3">
        <f>IFERROR(--_xlfn.TEXTBEFORE(Table1[[#This Row],[slot_number]],"-"),9999)</f>
        <v>7</v>
      </c>
      <c r="M184" s="3">
        <f>IFERROR(--_xlfn.TEXTAFTER(Table1[[#This Row],[slot_number]],"-"),9999)</f>
        <v>15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U184" s="3"/>
      <c r="CV184" s="3"/>
      <c r="CW184" s="3"/>
    </row>
    <row r="185" spans="1:101" s="3" customFormat="1" x14ac:dyDescent="0.25">
      <c r="A185" s="1">
        <v>283</v>
      </c>
      <c r="B185" s="1" t="str">
        <f t="shared" si="2"/>
        <v>7</v>
      </c>
      <c r="C185" s="2" t="s">
        <v>564</v>
      </c>
      <c r="D185" s="1" t="s">
        <v>14</v>
      </c>
      <c r="E185" s="1" t="s">
        <v>565</v>
      </c>
      <c r="F185" s="1" t="str">
        <f>SUBSTITUTE(Table1[[#This Row],[asset_tag]], "-", "")</f>
        <v>DDC4CY002601</v>
      </c>
      <c r="G185" s="1" t="s">
        <v>566</v>
      </c>
      <c r="H185" s="1" t="str">
        <f>IFERROR(VLOOKUP(F185, [1]BQ25_laptop_data_mod!A:C, 3, FALSE), "no MAC found")</f>
        <v>10-98-19-4A-51-68</v>
      </c>
      <c r="I185" s="1" t="s">
        <v>17</v>
      </c>
      <c r="J185" s="1" t="s">
        <v>18</v>
      </c>
      <c r="K185" s="1">
        <v>2250</v>
      </c>
      <c r="L185" s="3">
        <f>IFERROR(--_xlfn.TEXTBEFORE(Table1[[#This Row],[slot_number]],"-"),9999)</f>
        <v>7</v>
      </c>
      <c r="M185" s="3">
        <f>IFERROR(--_xlfn.TEXTAFTER(Table1[[#This Row],[slot_number]],"-"),9999)</f>
        <v>16</v>
      </c>
    </row>
    <row r="186" spans="1:101" s="3" customFormat="1" x14ac:dyDescent="0.25">
      <c r="A186" s="1">
        <v>283</v>
      </c>
      <c r="B186" s="1" t="str">
        <f t="shared" si="2"/>
        <v>7</v>
      </c>
      <c r="C186" s="2" t="s">
        <v>567</v>
      </c>
      <c r="D186" s="1" t="s">
        <v>14</v>
      </c>
      <c r="E186" s="1" t="s">
        <v>568</v>
      </c>
      <c r="F186" s="1" t="str">
        <f>SUBSTITUTE(Table1[[#This Row],[asset_tag]], "-", "")</f>
        <v>DDC4CY002635</v>
      </c>
      <c r="G186" s="1" t="s">
        <v>569</v>
      </c>
      <c r="H186" s="1" t="str">
        <f>IFERROR(VLOOKUP(F186, [1]BQ25_laptop_data_mod!A:C, 3, FALSE), "no MAC found")</f>
        <v>10-98-19-4A-52-DD</v>
      </c>
      <c r="I186" s="1" t="s">
        <v>17</v>
      </c>
      <c r="J186" s="1" t="s">
        <v>18</v>
      </c>
      <c r="K186" s="1">
        <v>2250</v>
      </c>
      <c r="L186" s="3">
        <f>IFERROR(--_xlfn.TEXTBEFORE(Table1[[#This Row],[slot_number]],"-"),9999)</f>
        <v>7</v>
      </c>
      <c r="M186" s="3">
        <f>IFERROR(--_xlfn.TEXTAFTER(Table1[[#This Row],[slot_number]],"-"),9999)</f>
        <v>17</v>
      </c>
    </row>
    <row r="187" spans="1:101" s="3" customFormat="1" x14ac:dyDescent="0.25">
      <c r="A187" s="1">
        <v>283</v>
      </c>
      <c r="B187" s="1" t="str">
        <f t="shared" si="2"/>
        <v>7</v>
      </c>
      <c r="C187" s="2" t="s">
        <v>570</v>
      </c>
      <c r="D187" s="1" t="s">
        <v>14</v>
      </c>
      <c r="E187" s="1" t="s">
        <v>571</v>
      </c>
      <c r="F187" s="1" t="str">
        <f>SUBSTITUTE(Table1[[#This Row],[asset_tag]], "-", "")</f>
        <v>DDC4CY002598</v>
      </c>
      <c r="G187" s="1" t="s">
        <v>572</v>
      </c>
      <c r="H187" s="1" t="str">
        <f>IFERROR(VLOOKUP(F187, [1]BQ25_laptop_data_mod!A:C, 3, FALSE), "no MAC found")</f>
        <v>10-98-19-4A-66-A9</v>
      </c>
      <c r="I187" s="1" t="s">
        <v>17</v>
      </c>
      <c r="J187" s="1" t="s">
        <v>18</v>
      </c>
      <c r="K187" s="1">
        <v>2250</v>
      </c>
      <c r="L187" s="3">
        <f>IFERROR(--_xlfn.TEXTBEFORE(Table1[[#This Row],[slot_number]],"-"),9999)</f>
        <v>7</v>
      </c>
      <c r="M187" s="3">
        <f>IFERROR(--_xlfn.TEXTAFTER(Table1[[#This Row],[slot_number]],"-"),9999)</f>
        <v>18</v>
      </c>
    </row>
    <row r="188" spans="1:101" s="3" customFormat="1" x14ac:dyDescent="0.25">
      <c r="A188" s="1">
        <v>283</v>
      </c>
      <c r="B188" s="1" t="str">
        <f t="shared" si="2"/>
        <v>8</v>
      </c>
      <c r="C188" s="2" t="s">
        <v>573</v>
      </c>
      <c r="D188" s="1" t="s">
        <v>14</v>
      </c>
      <c r="E188" s="1" t="s">
        <v>574</v>
      </c>
      <c r="F188" s="1" t="str">
        <f>SUBSTITUTE(Table1[[#This Row],[asset_tag]], "-", "")</f>
        <v>DDC4CY002746</v>
      </c>
      <c r="G188" s="1" t="s">
        <v>575</v>
      </c>
      <c r="H188" s="1" t="str">
        <f>IFERROR(VLOOKUP(F188, [1]BQ25_laptop_data_mod!A:C, 3, FALSE), "no MAC found")</f>
        <v>AC-B4-80-45-6D-43</v>
      </c>
      <c r="I188" s="1" t="s">
        <v>17</v>
      </c>
      <c r="J188" s="1" t="s">
        <v>18</v>
      </c>
      <c r="K188" s="1">
        <v>2335</v>
      </c>
      <c r="L188" s="3">
        <f>IFERROR(--_xlfn.TEXTBEFORE(Table1[[#This Row],[slot_number]],"-"),9999)</f>
        <v>8</v>
      </c>
      <c r="M188" s="3">
        <f>IFERROR(--_xlfn.TEXTAFTER(Table1[[#This Row],[slot_number]],"-"),9999)</f>
        <v>1</v>
      </c>
    </row>
    <row r="189" spans="1:101" s="3" customFormat="1" x14ac:dyDescent="0.25">
      <c r="A189" s="1">
        <v>283</v>
      </c>
      <c r="B189" s="1" t="str">
        <f t="shared" si="2"/>
        <v>8</v>
      </c>
      <c r="C189" s="2" t="s">
        <v>576</v>
      </c>
      <c r="D189" s="1" t="s">
        <v>14</v>
      </c>
      <c r="E189" s="1" t="s">
        <v>577</v>
      </c>
      <c r="F189" s="1" t="str">
        <f>SUBSTITUTE(Table1[[#This Row],[asset_tag]], "-", "")</f>
        <v>DDC4CY002675</v>
      </c>
      <c r="G189" s="1" t="s">
        <v>578</v>
      </c>
      <c r="H189" s="1" t="str">
        <f>IFERROR(VLOOKUP(F189, [1]BQ25_laptop_data_mod!A:C, 3, FALSE), "no MAC found")</f>
        <v>10-98-19-4A-52-36</v>
      </c>
      <c r="I189" s="1" t="s">
        <v>17</v>
      </c>
      <c r="J189" s="1" t="s">
        <v>18</v>
      </c>
      <c r="K189" s="1">
        <v>2250</v>
      </c>
      <c r="L189" s="3">
        <f>IFERROR(--_xlfn.TEXTBEFORE(Table1[[#This Row],[slot_number]],"-"),9999)</f>
        <v>8</v>
      </c>
      <c r="M189" s="3">
        <f>IFERROR(--_xlfn.TEXTAFTER(Table1[[#This Row],[slot_number]],"-"),9999)</f>
        <v>2</v>
      </c>
    </row>
    <row r="190" spans="1:101" s="3" customFormat="1" x14ac:dyDescent="0.25">
      <c r="A190" s="1">
        <v>283</v>
      </c>
      <c r="B190" s="1" t="str">
        <f t="shared" si="2"/>
        <v>8</v>
      </c>
      <c r="C190" s="2" t="s">
        <v>579</v>
      </c>
      <c r="D190" s="1" t="s">
        <v>14</v>
      </c>
      <c r="E190" s="1" t="s">
        <v>580</v>
      </c>
      <c r="F190" s="1" t="str">
        <f>SUBSTITUTE(Table1[[#This Row],[asset_tag]], "-", "")</f>
        <v>DDC4CY002553</v>
      </c>
      <c r="G190" s="1" t="s">
        <v>581</v>
      </c>
      <c r="H190" s="1" t="str">
        <f>IFERROR(VLOOKUP(F190, [1]BQ25_laptop_data_mod!A:C, 3, FALSE), "no MAC found")</f>
        <v>10-98-19-4A-51-8D</v>
      </c>
      <c r="I190" s="1" t="s">
        <v>17</v>
      </c>
      <c r="J190" s="1" t="s">
        <v>18</v>
      </c>
      <c r="K190" s="1">
        <v>2250</v>
      </c>
      <c r="L190" s="3">
        <f>IFERROR(--_xlfn.TEXTBEFORE(Table1[[#This Row],[slot_number]],"-"),9999)</f>
        <v>8</v>
      </c>
      <c r="M190" s="3">
        <f>IFERROR(--_xlfn.TEXTAFTER(Table1[[#This Row],[slot_number]],"-"),9999)</f>
        <v>3</v>
      </c>
    </row>
    <row r="191" spans="1:101" s="3" customFormat="1" x14ac:dyDescent="0.25">
      <c r="A191" s="1">
        <v>283</v>
      </c>
      <c r="B191" s="1" t="str">
        <f t="shared" si="2"/>
        <v>8</v>
      </c>
      <c r="C191" s="2" t="s">
        <v>582</v>
      </c>
      <c r="D191" s="1" t="s">
        <v>14</v>
      </c>
      <c r="E191" s="1" t="s">
        <v>583</v>
      </c>
      <c r="F191" s="1" t="str">
        <f>SUBSTITUTE(Table1[[#This Row],[asset_tag]], "-", "")</f>
        <v>DDC4CY002527</v>
      </c>
      <c r="G191" s="1" t="s">
        <v>584</v>
      </c>
      <c r="H191" s="1" t="str">
        <f>IFERROR(VLOOKUP(F191, [1]BQ25_laptop_data_mod!A:C, 3, FALSE), "no MAC found")</f>
        <v>10-98-19-4A-51-9B</v>
      </c>
      <c r="I191" s="1" t="s">
        <v>17</v>
      </c>
      <c r="J191" s="1" t="s">
        <v>18</v>
      </c>
      <c r="K191" s="1">
        <v>2250</v>
      </c>
      <c r="L191" s="3">
        <f>IFERROR(--_xlfn.TEXTBEFORE(Table1[[#This Row],[slot_number]],"-"),9999)</f>
        <v>8</v>
      </c>
      <c r="M191" s="3">
        <f>IFERROR(--_xlfn.TEXTAFTER(Table1[[#This Row],[slot_number]],"-"),9999)</f>
        <v>4</v>
      </c>
    </row>
    <row r="192" spans="1:101" s="3" customFormat="1" x14ac:dyDescent="0.25">
      <c r="A192" s="1">
        <v>283</v>
      </c>
      <c r="B192" s="1" t="str">
        <f t="shared" si="2"/>
        <v>8</v>
      </c>
      <c r="C192" s="2" t="s">
        <v>585</v>
      </c>
      <c r="D192" s="1" t="s">
        <v>14</v>
      </c>
      <c r="E192" s="1" t="s">
        <v>586</v>
      </c>
      <c r="F192" s="1" t="str">
        <f>SUBSTITUTE(Table1[[#This Row],[asset_tag]], "-", "")</f>
        <v>DDC4CY002800</v>
      </c>
      <c r="G192" s="1" t="s">
        <v>587</v>
      </c>
      <c r="H192" s="1" t="str">
        <f>IFERROR(VLOOKUP(F192, [1]BQ25_laptop_data_mod!A:C, 3, FALSE), "no MAC found")</f>
        <v>AC-B4-80-45-6C-15</v>
      </c>
      <c r="I192" s="1" t="s">
        <v>17</v>
      </c>
      <c r="J192" s="1" t="s">
        <v>18</v>
      </c>
      <c r="K192" s="1">
        <v>2335</v>
      </c>
      <c r="L192" s="3">
        <f>IFERROR(--_xlfn.TEXTBEFORE(Table1[[#This Row],[slot_number]],"-"),9999)</f>
        <v>8</v>
      </c>
      <c r="M192" s="3">
        <f>IFERROR(--_xlfn.TEXTAFTER(Table1[[#This Row],[slot_number]],"-"),9999)</f>
        <v>5</v>
      </c>
    </row>
    <row r="193" spans="1:13" s="3" customFormat="1" x14ac:dyDescent="0.25">
      <c r="A193" s="1">
        <v>283</v>
      </c>
      <c r="B193" s="1" t="str">
        <f t="shared" si="2"/>
        <v>8</v>
      </c>
      <c r="C193" s="2" t="s">
        <v>588</v>
      </c>
      <c r="D193" s="1" t="s">
        <v>14</v>
      </c>
      <c r="E193" s="1" t="s">
        <v>589</v>
      </c>
      <c r="F193" s="1" t="str">
        <f>SUBSTITUTE(Table1[[#This Row],[asset_tag]], "-", "")</f>
        <v>DDC4CY002750</v>
      </c>
      <c r="G193" s="1" t="s">
        <v>590</v>
      </c>
      <c r="H193" s="1" t="str">
        <f>IFERROR(VLOOKUP(F193, [1]BQ25_laptop_data_mod!A:C, 3, FALSE), "no MAC found")</f>
        <v>AC-84-80-45-6B-4B</v>
      </c>
      <c r="I193" s="1" t="s">
        <v>17</v>
      </c>
      <c r="J193" s="1" t="s">
        <v>18</v>
      </c>
      <c r="K193" s="1">
        <v>2335</v>
      </c>
      <c r="L193" s="3">
        <f>IFERROR(--_xlfn.TEXTBEFORE(Table1[[#This Row],[slot_number]],"-"),9999)</f>
        <v>8</v>
      </c>
      <c r="M193" s="3">
        <f>IFERROR(--_xlfn.TEXTAFTER(Table1[[#This Row],[slot_number]],"-"),9999)</f>
        <v>6</v>
      </c>
    </row>
    <row r="194" spans="1:13" s="3" customFormat="1" x14ac:dyDescent="0.25">
      <c r="A194" s="1">
        <v>283</v>
      </c>
      <c r="B194" s="1" t="str">
        <f t="shared" ref="B194:B245" si="3">IFERROR(_xlfn.TEXTBEFORE(C194, "-"), "")</f>
        <v>8</v>
      </c>
      <c r="C194" s="2" t="s">
        <v>591</v>
      </c>
      <c r="D194" s="1" t="s">
        <v>14</v>
      </c>
      <c r="E194" s="1" t="s">
        <v>592</v>
      </c>
      <c r="F194" s="1" t="str">
        <f>SUBSTITUTE(Table1[[#This Row],[asset_tag]], "-", "")</f>
        <v>DDC4CY002621</v>
      </c>
      <c r="G194" s="1" t="s">
        <v>593</v>
      </c>
      <c r="H194" s="1" t="str">
        <f>IFERROR(VLOOKUP(F194, [1]BQ25_laptop_data_mod!A:C, 3, FALSE), "no MAC found")</f>
        <v>10-98-19-4A-52-CF</v>
      </c>
      <c r="I194" s="1" t="s">
        <v>17</v>
      </c>
      <c r="J194" s="1" t="s">
        <v>18</v>
      </c>
      <c r="K194" s="1">
        <v>2250</v>
      </c>
      <c r="L194" s="3">
        <f>IFERROR(--_xlfn.TEXTBEFORE(Table1[[#This Row],[slot_number]],"-"),9999)</f>
        <v>8</v>
      </c>
      <c r="M194" s="3">
        <f>IFERROR(--_xlfn.TEXTAFTER(Table1[[#This Row],[slot_number]],"-"),9999)</f>
        <v>7</v>
      </c>
    </row>
    <row r="195" spans="1:13" s="3" customFormat="1" x14ac:dyDescent="0.25">
      <c r="A195" s="1">
        <v>283</v>
      </c>
      <c r="B195" s="1" t="str">
        <f t="shared" si="3"/>
        <v>8</v>
      </c>
      <c r="C195" s="2" t="s">
        <v>594</v>
      </c>
      <c r="D195" s="1" t="s">
        <v>14</v>
      </c>
      <c r="E195" s="1" t="s">
        <v>595</v>
      </c>
      <c r="F195" s="1" t="str">
        <f>SUBSTITUTE(Table1[[#This Row],[asset_tag]], "-", "")</f>
        <v>DDC4CY002636</v>
      </c>
      <c r="G195" s="1" t="s">
        <v>596</v>
      </c>
      <c r="H195" s="1" t="str">
        <f>IFERROR(VLOOKUP(F195, [1]BQ25_laptop_data_mod!A:C, 3, FALSE), "no MAC found")</f>
        <v>10-98-19-4A-53-0A</v>
      </c>
      <c r="I195" s="1" t="s">
        <v>17</v>
      </c>
      <c r="J195" s="1" t="s">
        <v>18</v>
      </c>
      <c r="K195" s="1">
        <v>2250</v>
      </c>
      <c r="L195" s="3">
        <f>IFERROR(--_xlfn.TEXTBEFORE(Table1[[#This Row],[slot_number]],"-"),9999)</f>
        <v>8</v>
      </c>
      <c r="M195" s="3">
        <f>IFERROR(--_xlfn.TEXTAFTER(Table1[[#This Row],[slot_number]],"-"),9999)</f>
        <v>8</v>
      </c>
    </row>
    <row r="196" spans="1:13" s="3" customFormat="1" x14ac:dyDescent="0.25">
      <c r="A196" s="1">
        <v>283</v>
      </c>
      <c r="B196" s="1" t="str">
        <f t="shared" si="3"/>
        <v>8</v>
      </c>
      <c r="C196" s="2" t="s">
        <v>597</v>
      </c>
      <c r="D196" s="1" t="s">
        <v>14</v>
      </c>
      <c r="E196" s="1" t="s">
        <v>598</v>
      </c>
      <c r="F196" s="1" t="str">
        <f>SUBSTITUTE(Table1[[#This Row],[asset_tag]], "-", "")</f>
        <v>DDC4CY002647</v>
      </c>
      <c r="G196" s="1" t="s">
        <v>599</v>
      </c>
      <c r="H196" s="1" t="str">
        <f>IFERROR(VLOOKUP(F196, [1]BQ25_laptop_data_mod!A:C, 3, FALSE), "no MAC found")</f>
        <v>10-98-19-4A-52-73</v>
      </c>
      <c r="I196" s="1" t="s">
        <v>17</v>
      </c>
      <c r="J196" s="1" t="s">
        <v>18</v>
      </c>
      <c r="K196" s="1">
        <v>2250</v>
      </c>
      <c r="L196" s="3">
        <f>IFERROR(--_xlfn.TEXTBEFORE(Table1[[#This Row],[slot_number]],"-"),9999)</f>
        <v>8</v>
      </c>
      <c r="M196" s="3">
        <f>IFERROR(--_xlfn.TEXTAFTER(Table1[[#This Row],[slot_number]],"-"),9999)</f>
        <v>9</v>
      </c>
    </row>
    <row r="197" spans="1:13" s="3" customFormat="1" x14ac:dyDescent="0.25">
      <c r="A197" s="1">
        <v>283</v>
      </c>
      <c r="B197" s="1" t="str">
        <f t="shared" si="3"/>
        <v>8</v>
      </c>
      <c r="C197" s="2" t="s">
        <v>600</v>
      </c>
      <c r="D197" s="1" t="s">
        <v>14</v>
      </c>
      <c r="E197" s="1" t="s">
        <v>601</v>
      </c>
      <c r="F197" s="1" t="str">
        <f>SUBSTITUTE(Table1[[#This Row],[asset_tag]], "-", "")</f>
        <v>DDC4CY002742</v>
      </c>
      <c r="G197" s="1" t="s">
        <v>602</v>
      </c>
      <c r="H197" s="1" t="str">
        <f>IFERROR(VLOOKUP(F197, [1]BQ25_laptop_data_mod!A:C, 3, FALSE), "no MAC found")</f>
        <v>AC-B4-80-45-6C-47</v>
      </c>
      <c r="I197" s="1" t="s">
        <v>17</v>
      </c>
      <c r="J197" s="1" t="s">
        <v>18</v>
      </c>
      <c r="K197" s="1">
        <v>2335</v>
      </c>
      <c r="L197" s="3">
        <f>IFERROR(--_xlfn.TEXTBEFORE(Table1[[#This Row],[slot_number]],"-"),9999)</f>
        <v>8</v>
      </c>
      <c r="M197" s="3">
        <f>IFERROR(--_xlfn.TEXTAFTER(Table1[[#This Row],[slot_number]],"-"),9999)</f>
        <v>10</v>
      </c>
    </row>
    <row r="198" spans="1:13" s="3" customFormat="1" x14ac:dyDescent="0.25">
      <c r="A198" s="1">
        <v>283</v>
      </c>
      <c r="B198" s="1" t="str">
        <f t="shared" si="3"/>
        <v>8</v>
      </c>
      <c r="C198" s="2" t="s">
        <v>603</v>
      </c>
      <c r="D198" s="1" t="s">
        <v>14</v>
      </c>
      <c r="E198" s="1" t="s">
        <v>604</v>
      </c>
      <c r="F198" s="1" t="str">
        <f>SUBSTITUTE(Table1[[#This Row],[asset_tag]], "-", "")</f>
        <v>DDC4CY002762</v>
      </c>
      <c r="G198" s="1" t="s">
        <v>605</v>
      </c>
      <c r="H198" s="1" t="str">
        <f>IFERROR(VLOOKUP(F198, [1]BQ25_laptop_data_mod!A:C, 3, FALSE), "no MAC found")</f>
        <v>AC-B4-80-45-6B-FF</v>
      </c>
      <c r="I198" s="1" t="s">
        <v>17</v>
      </c>
      <c r="J198" s="1" t="s">
        <v>18</v>
      </c>
      <c r="K198" s="1">
        <v>2335</v>
      </c>
      <c r="L198" s="3">
        <f>IFERROR(--_xlfn.TEXTBEFORE(Table1[[#This Row],[slot_number]],"-"),9999)</f>
        <v>8</v>
      </c>
      <c r="M198" s="3">
        <f>IFERROR(--_xlfn.TEXTAFTER(Table1[[#This Row],[slot_number]],"-"),9999)</f>
        <v>11</v>
      </c>
    </row>
    <row r="199" spans="1:13" s="3" customFormat="1" x14ac:dyDescent="0.25">
      <c r="A199" s="1">
        <v>283</v>
      </c>
      <c r="B199" s="1" t="str">
        <f t="shared" si="3"/>
        <v>8</v>
      </c>
      <c r="C199" s="2" t="s">
        <v>606</v>
      </c>
      <c r="D199" s="1" t="s">
        <v>14</v>
      </c>
      <c r="E199" s="1" t="s">
        <v>607</v>
      </c>
      <c r="F199" s="1" t="str">
        <f>SUBSTITUTE(Table1[[#This Row],[asset_tag]], "-", "")</f>
        <v>DDC4CY002600</v>
      </c>
      <c r="G199" s="1" t="s">
        <v>608</v>
      </c>
      <c r="H199" s="1" t="str">
        <f>IFERROR(VLOOKUP(F199, [1]BQ25_laptop_data_mod!A:C, 3, FALSE), "no MAC found")</f>
        <v>10-98-19-4A-52-75</v>
      </c>
      <c r="I199" s="1" t="s">
        <v>17</v>
      </c>
      <c r="J199" s="1" t="s">
        <v>18</v>
      </c>
      <c r="K199" s="1">
        <v>2250</v>
      </c>
      <c r="L199" s="3">
        <f>IFERROR(--_xlfn.TEXTBEFORE(Table1[[#This Row],[slot_number]],"-"),9999)</f>
        <v>8</v>
      </c>
      <c r="M199" s="3">
        <f>IFERROR(--_xlfn.TEXTAFTER(Table1[[#This Row],[slot_number]],"-"),9999)</f>
        <v>12</v>
      </c>
    </row>
    <row r="200" spans="1:13" s="3" customFormat="1" x14ac:dyDescent="0.25">
      <c r="A200" s="1">
        <v>283</v>
      </c>
      <c r="B200" s="1" t="str">
        <f t="shared" si="3"/>
        <v>8</v>
      </c>
      <c r="C200" s="2" t="s">
        <v>609</v>
      </c>
      <c r="D200" s="1" t="s">
        <v>14</v>
      </c>
      <c r="E200" s="1" t="s">
        <v>610</v>
      </c>
      <c r="F200" s="1" t="str">
        <f>SUBSTITUTE(Table1[[#This Row],[asset_tag]], "-", "")</f>
        <v>DDC4CY002640</v>
      </c>
      <c r="G200" s="1" t="s">
        <v>611</v>
      </c>
      <c r="H200" s="1" t="str">
        <f>IFERROR(VLOOKUP(F200, [1]BQ25_laptop_data_mod!A:C, 3, FALSE), "no MAC found")</f>
        <v>10-98-19-4A-50-FC</v>
      </c>
      <c r="I200" s="1" t="s">
        <v>17</v>
      </c>
      <c r="J200" s="1" t="s">
        <v>18</v>
      </c>
      <c r="K200" s="1">
        <v>2250</v>
      </c>
      <c r="L200" s="3">
        <f>IFERROR(--_xlfn.TEXTBEFORE(Table1[[#This Row],[slot_number]],"-"),9999)</f>
        <v>8</v>
      </c>
      <c r="M200" s="3">
        <f>IFERROR(--_xlfn.TEXTAFTER(Table1[[#This Row],[slot_number]],"-"),9999)</f>
        <v>13</v>
      </c>
    </row>
    <row r="201" spans="1:13" s="3" customFormat="1" x14ac:dyDescent="0.25">
      <c r="A201" s="1">
        <v>283</v>
      </c>
      <c r="B201" s="1" t="str">
        <f t="shared" si="3"/>
        <v>8</v>
      </c>
      <c r="C201" s="2" t="s">
        <v>612</v>
      </c>
      <c r="D201" s="1" t="s">
        <v>14</v>
      </c>
      <c r="E201" s="1" t="s">
        <v>613</v>
      </c>
      <c r="F201" s="1" t="str">
        <f>SUBSTITUTE(Table1[[#This Row],[asset_tag]], "-", "")</f>
        <v>DDC4CY002610</v>
      </c>
      <c r="G201" s="1" t="s">
        <v>614</v>
      </c>
      <c r="H201" s="1" t="str">
        <f>IFERROR(VLOOKUP(F201, [1]BQ25_laptop_data_mod!A:C, 3, FALSE), "no MAC found")</f>
        <v>10-98-19-4A-50-F0</v>
      </c>
      <c r="I201" s="1" t="s">
        <v>17</v>
      </c>
      <c r="J201" s="1" t="s">
        <v>18</v>
      </c>
      <c r="K201" s="1">
        <v>2250</v>
      </c>
      <c r="L201" s="3">
        <f>IFERROR(--_xlfn.TEXTBEFORE(Table1[[#This Row],[slot_number]],"-"),9999)</f>
        <v>8</v>
      </c>
      <c r="M201" s="3">
        <f>IFERROR(--_xlfn.TEXTAFTER(Table1[[#This Row],[slot_number]],"-"),9999)</f>
        <v>14</v>
      </c>
    </row>
    <row r="202" spans="1:13" s="3" customFormat="1" x14ac:dyDescent="0.25">
      <c r="A202" s="1">
        <v>283</v>
      </c>
      <c r="B202" s="1" t="str">
        <f t="shared" si="3"/>
        <v>8</v>
      </c>
      <c r="C202" s="2" t="s">
        <v>615</v>
      </c>
      <c r="D202" s="1" t="s">
        <v>14</v>
      </c>
      <c r="E202" s="1" t="s">
        <v>616</v>
      </c>
      <c r="F202" s="1" t="str">
        <f>SUBSTITUTE(Table1[[#This Row],[asset_tag]], "-", "")</f>
        <v>DDC4CY002686</v>
      </c>
      <c r="G202" s="1" t="s">
        <v>617</v>
      </c>
      <c r="H202" s="1" t="str">
        <f>IFERROR(VLOOKUP(F202, [1]BQ25_laptop_data_mod!A:C, 3, FALSE), "no MAC found")</f>
        <v>10-98-19-4A-51-B1</v>
      </c>
      <c r="I202" s="1" t="s">
        <v>17</v>
      </c>
      <c r="J202" s="1" t="s">
        <v>18</v>
      </c>
      <c r="K202" s="1">
        <v>2250</v>
      </c>
      <c r="L202" s="3">
        <f>IFERROR(--_xlfn.TEXTBEFORE(Table1[[#This Row],[slot_number]],"-"),9999)</f>
        <v>8</v>
      </c>
      <c r="M202" s="3">
        <f>IFERROR(--_xlfn.TEXTAFTER(Table1[[#This Row],[slot_number]],"-"),9999)</f>
        <v>15</v>
      </c>
    </row>
    <row r="203" spans="1:13" s="3" customFormat="1" x14ac:dyDescent="0.25">
      <c r="A203" s="1">
        <v>283</v>
      </c>
      <c r="B203" s="1" t="str">
        <f t="shared" si="3"/>
        <v>8</v>
      </c>
      <c r="C203" s="2" t="s">
        <v>618</v>
      </c>
      <c r="D203" s="1" t="s">
        <v>14</v>
      </c>
      <c r="E203" s="1" t="s">
        <v>619</v>
      </c>
      <c r="F203" s="1" t="str">
        <f>SUBSTITUTE(Table1[[#This Row],[asset_tag]], "-", "")</f>
        <v>DDC4CY002578</v>
      </c>
      <c r="G203" s="1" t="s">
        <v>620</v>
      </c>
      <c r="H203" s="1" t="str">
        <f>IFERROR(VLOOKUP(F203, [1]BQ25_laptop_data_mod!A:C, 3, FALSE), "no MAC found")</f>
        <v>10-98-19-4A-41-4B</v>
      </c>
      <c r="I203" s="1" t="s">
        <v>17</v>
      </c>
      <c r="J203" s="1" t="s">
        <v>18</v>
      </c>
      <c r="K203" s="1">
        <v>2250</v>
      </c>
      <c r="L203" s="3">
        <f>IFERROR(--_xlfn.TEXTBEFORE(Table1[[#This Row],[slot_number]],"-"),9999)</f>
        <v>8</v>
      </c>
      <c r="M203" s="3">
        <f>IFERROR(--_xlfn.TEXTAFTER(Table1[[#This Row],[slot_number]],"-"),9999)</f>
        <v>16</v>
      </c>
    </row>
    <row r="204" spans="1:13" s="3" customFormat="1" x14ac:dyDescent="0.25">
      <c r="A204" s="1">
        <v>283</v>
      </c>
      <c r="B204" s="1" t="str">
        <f t="shared" si="3"/>
        <v>8</v>
      </c>
      <c r="C204" s="2" t="s">
        <v>621</v>
      </c>
      <c r="D204" s="1" t="s">
        <v>14</v>
      </c>
      <c r="E204" s="1" t="s">
        <v>622</v>
      </c>
      <c r="F204" s="1" t="str">
        <f>SUBSTITUTE(Table1[[#This Row],[asset_tag]], "-", "")</f>
        <v>DDC4CY002760</v>
      </c>
      <c r="G204" s="1" t="s">
        <v>623</v>
      </c>
      <c r="H204" s="1" t="str">
        <f>IFERROR(VLOOKUP(F204, [1]BQ25_laptop_data_mod!A:C, 3, FALSE), "no MAC found")</f>
        <v>AC-B4-80-45-6B-45</v>
      </c>
      <c r="I204" s="1" t="s">
        <v>17</v>
      </c>
      <c r="J204" s="1" t="s">
        <v>18</v>
      </c>
      <c r="K204" s="1">
        <v>2335</v>
      </c>
      <c r="L204" s="3">
        <f>IFERROR(--_xlfn.TEXTBEFORE(Table1[[#This Row],[slot_number]],"-"),9999)</f>
        <v>8</v>
      </c>
      <c r="M204" s="3">
        <f>IFERROR(--_xlfn.TEXTAFTER(Table1[[#This Row],[slot_number]],"-"),9999)</f>
        <v>17</v>
      </c>
    </row>
    <row r="205" spans="1:13" s="3" customFormat="1" x14ac:dyDescent="0.25">
      <c r="A205" s="1">
        <v>283</v>
      </c>
      <c r="B205" s="1" t="str">
        <f t="shared" si="3"/>
        <v>8</v>
      </c>
      <c r="C205" s="2" t="s">
        <v>624</v>
      </c>
      <c r="D205" s="1" t="s">
        <v>14</v>
      </c>
      <c r="E205" s="1" t="s">
        <v>625</v>
      </c>
      <c r="F205" s="1" t="str">
        <f>SUBSTITUTE(Table1[[#This Row],[asset_tag]], "-", "")</f>
        <v>DDC4CY002616</v>
      </c>
      <c r="G205" s="1" t="s">
        <v>626</v>
      </c>
      <c r="H205" s="1" t="str">
        <f>IFERROR(VLOOKUP(F205, [1]BQ25_laptop_data_mod!A:C, 3, FALSE), "no MAC found")</f>
        <v>10-98-19-4A-52-74</v>
      </c>
      <c r="I205" s="1" t="s">
        <v>17</v>
      </c>
      <c r="J205" s="1" t="s">
        <v>18</v>
      </c>
      <c r="K205" s="1">
        <v>2250</v>
      </c>
      <c r="L205" s="3">
        <f>IFERROR(--_xlfn.TEXTBEFORE(Table1[[#This Row],[slot_number]],"-"),9999)</f>
        <v>8</v>
      </c>
      <c r="M205" s="3">
        <f>IFERROR(--_xlfn.TEXTAFTER(Table1[[#This Row],[slot_number]],"-"),9999)</f>
        <v>18</v>
      </c>
    </row>
    <row r="206" spans="1:13" s="3" customFormat="1" x14ac:dyDescent="0.25">
      <c r="A206" s="1">
        <v>283</v>
      </c>
      <c r="B206" s="1" t="str">
        <f t="shared" si="3"/>
        <v>013</v>
      </c>
      <c r="C206" s="2" t="s">
        <v>627</v>
      </c>
      <c r="D206" s="1" t="s">
        <v>14</v>
      </c>
      <c r="E206" s="1" t="s">
        <v>628</v>
      </c>
      <c r="F206" s="1" t="str">
        <f>SUBSTITUTE(Table1[[#This Row],[asset_tag]], "-", "")</f>
        <v>DDC4CY002406</v>
      </c>
      <c r="G206" s="1" t="s">
        <v>629</v>
      </c>
      <c r="H206" s="1" t="str">
        <f>IFERROR(VLOOKUP(F206, [1]BQ25_laptop_data_mod!A:C, 3, FALSE), "no MAC found")</f>
        <v>10-98-19-48-71-36</v>
      </c>
      <c r="I206" s="1" t="s">
        <v>17</v>
      </c>
      <c r="J206" s="1" t="s">
        <v>630</v>
      </c>
      <c r="K206" s="1">
        <v>4662</v>
      </c>
      <c r="L206" s="3">
        <f>IFERROR(--_xlfn.TEXTBEFORE(Table1[[#This Row],[slot_number]],"-"),9999)</f>
        <v>13</v>
      </c>
      <c r="M206" s="3">
        <f>IFERROR(--_xlfn.TEXTAFTER(Table1[[#This Row],[slot_number]],"-"),9999)</f>
        <v>1</v>
      </c>
    </row>
    <row r="207" spans="1:13" s="3" customFormat="1" x14ac:dyDescent="0.25">
      <c r="A207" s="1">
        <v>283</v>
      </c>
      <c r="B207" s="1" t="str">
        <f t="shared" si="3"/>
        <v>013</v>
      </c>
      <c r="C207" s="2" t="s">
        <v>631</v>
      </c>
      <c r="D207" s="1" t="s">
        <v>14</v>
      </c>
      <c r="E207" s="1" t="s">
        <v>632</v>
      </c>
      <c r="F207" s="1" t="str">
        <f>SUBSTITUTE(Table1[[#This Row],[asset_tag]], "-", "")</f>
        <v>DDC4CY002378</v>
      </c>
      <c r="G207" s="1" t="s">
        <v>633</v>
      </c>
      <c r="H207" s="1" t="str">
        <f>IFERROR(VLOOKUP(F207, [1]BQ25_laptop_data_mod!A:C, 3, FALSE), "no MAC found")</f>
        <v>10-98-19-48-71-86</v>
      </c>
      <c r="I207" s="1" t="s">
        <v>17</v>
      </c>
      <c r="J207" s="1" t="s">
        <v>630</v>
      </c>
      <c r="K207" s="1">
        <v>4662</v>
      </c>
      <c r="L207" s="3">
        <f>IFERROR(--_xlfn.TEXTBEFORE(Table1[[#This Row],[slot_number]],"-"),9999)</f>
        <v>13</v>
      </c>
      <c r="M207" s="3">
        <f>IFERROR(--_xlfn.TEXTAFTER(Table1[[#This Row],[slot_number]],"-"),9999)</f>
        <v>2</v>
      </c>
    </row>
    <row r="208" spans="1:13" s="3" customFormat="1" x14ac:dyDescent="0.25">
      <c r="A208" s="1">
        <v>283</v>
      </c>
      <c r="B208" s="1" t="str">
        <f t="shared" si="3"/>
        <v>013</v>
      </c>
      <c r="C208" s="2" t="s">
        <v>634</v>
      </c>
      <c r="D208" s="1" t="s">
        <v>14</v>
      </c>
      <c r="E208" s="1" t="s">
        <v>635</v>
      </c>
      <c r="F208" s="1" t="str">
        <f>SUBSTITUTE(Table1[[#This Row],[asset_tag]], "-", "")</f>
        <v>DDC4CY002420</v>
      </c>
      <c r="G208" s="1" t="s">
        <v>636</v>
      </c>
      <c r="H208" s="1" t="str">
        <f>IFERROR(VLOOKUP(F208, [1]BQ25_laptop_data_mod!A:C, 3, FALSE), "no MAC found")</f>
        <v>10-98-19-48-64-13</v>
      </c>
      <c r="I208" s="1" t="s">
        <v>17</v>
      </c>
      <c r="J208" s="1" t="s">
        <v>630</v>
      </c>
      <c r="K208" s="1">
        <v>4662</v>
      </c>
      <c r="L208" s="3">
        <f>IFERROR(--_xlfn.TEXTBEFORE(Table1[[#This Row],[slot_number]],"-"),9999)</f>
        <v>13</v>
      </c>
      <c r="M208" s="3">
        <f>IFERROR(--_xlfn.TEXTAFTER(Table1[[#This Row],[slot_number]],"-"),9999)</f>
        <v>3</v>
      </c>
    </row>
    <row r="209" spans="1:104" s="3" customFormat="1" x14ac:dyDescent="0.25">
      <c r="A209" s="1">
        <v>283</v>
      </c>
      <c r="B209" s="1" t="str">
        <f t="shared" si="3"/>
        <v>013</v>
      </c>
      <c r="C209" s="2" t="s">
        <v>637</v>
      </c>
      <c r="D209" s="1" t="s">
        <v>14</v>
      </c>
      <c r="E209" s="1" t="s">
        <v>638</v>
      </c>
      <c r="F209" s="1" t="str">
        <f>SUBSTITUTE(Table1[[#This Row],[asset_tag]], "-", "")</f>
        <v>DDC4CY002407</v>
      </c>
      <c r="G209" s="1" t="s">
        <v>639</v>
      </c>
      <c r="H209" s="1" t="str">
        <f>IFERROR(VLOOKUP(F209, [1]BQ25_laptop_data_mod!A:C, 3, FALSE), "no MAC found")</f>
        <v>10-98-19-48-63-0B</v>
      </c>
      <c r="I209" s="1" t="s">
        <v>17</v>
      </c>
      <c r="J209" s="1" t="s">
        <v>630</v>
      </c>
      <c r="K209" s="1">
        <v>4662</v>
      </c>
      <c r="L209" s="3">
        <f>IFERROR(--_xlfn.TEXTBEFORE(Table1[[#This Row],[slot_number]],"-"),9999)</f>
        <v>13</v>
      </c>
      <c r="M209" s="3">
        <f>IFERROR(--_xlfn.TEXTAFTER(Table1[[#This Row],[slot_number]],"-"),9999)</f>
        <v>4</v>
      </c>
    </row>
    <row r="210" spans="1:104" s="3" customFormat="1" x14ac:dyDescent="0.25">
      <c r="A210" s="1">
        <v>283</v>
      </c>
      <c r="B210" s="1" t="str">
        <f t="shared" si="3"/>
        <v>013</v>
      </c>
      <c r="C210" s="2" t="s">
        <v>640</v>
      </c>
      <c r="D210" s="1" t="s">
        <v>14</v>
      </c>
      <c r="E210" s="1" t="s">
        <v>641</v>
      </c>
      <c r="F210" s="1" t="str">
        <f>SUBSTITUTE(Table1[[#This Row],[asset_tag]], "-", "")</f>
        <v>DDC4CY002374</v>
      </c>
      <c r="G210" s="1" t="s">
        <v>642</v>
      </c>
      <c r="H210" s="1" t="str">
        <f>IFERROR(VLOOKUP(F210, [1]BQ25_laptop_data_mod!A:C, 3, FALSE), "no MAC found")</f>
        <v>10-98-19-48-71-87</v>
      </c>
      <c r="I210" s="1" t="s">
        <v>17</v>
      </c>
      <c r="J210" s="1" t="s">
        <v>630</v>
      </c>
      <c r="K210" s="1">
        <v>4662</v>
      </c>
      <c r="L210" s="3">
        <f>IFERROR(--_xlfn.TEXTBEFORE(Table1[[#This Row],[slot_number]],"-"),9999)</f>
        <v>13</v>
      </c>
      <c r="M210" s="3">
        <f>IFERROR(--_xlfn.TEXTAFTER(Table1[[#This Row],[slot_number]],"-"),9999)</f>
        <v>5</v>
      </c>
    </row>
    <row r="211" spans="1:104" s="3" customFormat="1" x14ac:dyDescent="0.25">
      <c r="A211" s="1">
        <v>283</v>
      </c>
      <c r="B211" s="1" t="str">
        <f t="shared" si="3"/>
        <v>013</v>
      </c>
      <c r="C211" s="2" t="s">
        <v>643</v>
      </c>
      <c r="D211" s="1" t="s">
        <v>14</v>
      </c>
      <c r="E211" s="1" t="s">
        <v>644</v>
      </c>
      <c r="F211" s="1" t="str">
        <f>SUBSTITUTE(Table1[[#This Row],[asset_tag]], "-", "")</f>
        <v>DDC4CY002424</v>
      </c>
      <c r="G211" s="1" t="s">
        <v>645</v>
      </c>
      <c r="H211" s="1" t="str">
        <f>IFERROR(VLOOKUP(F211, [1]BQ25_laptop_data_mod!A:C, 3, FALSE), "no MAC found")</f>
        <v>10-98-19-48-71-BE</v>
      </c>
      <c r="I211" s="1" t="s">
        <v>17</v>
      </c>
      <c r="J211" s="1" t="s">
        <v>630</v>
      </c>
      <c r="K211" s="1">
        <v>4662</v>
      </c>
      <c r="L211" s="3">
        <f>IFERROR(--_xlfn.TEXTBEFORE(Table1[[#This Row],[slot_number]],"-"),9999)</f>
        <v>13</v>
      </c>
      <c r="M211" s="3">
        <f>IFERROR(--_xlfn.TEXTAFTER(Table1[[#This Row],[slot_number]],"-"),9999)</f>
        <v>6</v>
      </c>
    </row>
    <row r="212" spans="1:104" s="3" customFormat="1" x14ac:dyDescent="0.25">
      <c r="A212" s="1">
        <v>283</v>
      </c>
      <c r="B212" s="1" t="str">
        <f t="shared" si="3"/>
        <v>013</v>
      </c>
      <c r="C212" s="2" t="s">
        <v>646</v>
      </c>
      <c r="D212" s="1" t="s">
        <v>14</v>
      </c>
      <c r="E212" s="1" t="s">
        <v>647</v>
      </c>
      <c r="F212" s="1" t="str">
        <f>SUBSTITUTE(Table1[[#This Row],[asset_tag]], "-", "")</f>
        <v>DDC4CY002417</v>
      </c>
      <c r="G212" s="1" t="s">
        <v>648</v>
      </c>
      <c r="H212" s="1" t="str">
        <f>IFERROR(VLOOKUP(F212, [1]BQ25_laptop_data_mod!A:C, 3, FALSE), "no MAC found")</f>
        <v>10-98-19-48-70-A3</v>
      </c>
      <c r="I212" s="1" t="s">
        <v>17</v>
      </c>
      <c r="J212" s="1" t="s">
        <v>630</v>
      </c>
      <c r="K212" s="1">
        <v>4662</v>
      </c>
      <c r="L212" s="3">
        <f>IFERROR(--_xlfn.TEXTBEFORE(Table1[[#This Row],[slot_number]],"-"),9999)</f>
        <v>13</v>
      </c>
      <c r="M212" s="3">
        <f>IFERROR(--_xlfn.TEXTAFTER(Table1[[#This Row],[slot_number]],"-"),9999)</f>
        <v>7</v>
      </c>
    </row>
    <row r="213" spans="1:104" s="3" customFormat="1" x14ac:dyDescent="0.25">
      <c r="A213" s="1">
        <v>283</v>
      </c>
      <c r="B213" s="1" t="str">
        <f t="shared" si="3"/>
        <v>013</v>
      </c>
      <c r="C213" s="2" t="s">
        <v>649</v>
      </c>
      <c r="D213" s="1" t="s">
        <v>14</v>
      </c>
      <c r="E213" s="1" t="s">
        <v>650</v>
      </c>
      <c r="F213" s="1" t="str">
        <f>SUBSTITUTE(Table1[[#This Row],[asset_tag]], "-", "")</f>
        <v>DDC4CY002411</v>
      </c>
      <c r="G213" s="1" t="s">
        <v>651</v>
      </c>
      <c r="H213" s="1" t="str">
        <f>IFERROR(VLOOKUP(F213, [1]BQ25_laptop_data_mod!A:C, 3, FALSE), "no MAC found")</f>
        <v>10-98-19-48-71-83</v>
      </c>
      <c r="I213" s="1" t="s">
        <v>17</v>
      </c>
      <c r="J213" s="1" t="s">
        <v>630</v>
      </c>
      <c r="K213" s="1">
        <v>4662</v>
      </c>
      <c r="L213" s="3">
        <f>IFERROR(--_xlfn.TEXTBEFORE(Table1[[#This Row],[slot_number]],"-"),9999)</f>
        <v>13</v>
      </c>
      <c r="M213" s="3">
        <f>IFERROR(--_xlfn.TEXTAFTER(Table1[[#This Row],[slot_number]],"-"),9999)</f>
        <v>8</v>
      </c>
    </row>
    <row r="214" spans="1:104" s="3" customFormat="1" x14ac:dyDescent="0.25">
      <c r="A214" s="1">
        <v>283</v>
      </c>
      <c r="B214" s="1" t="str">
        <f t="shared" si="3"/>
        <v>013</v>
      </c>
      <c r="C214" s="2" t="s">
        <v>652</v>
      </c>
      <c r="D214" s="1" t="s">
        <v>14</v>
      </c>
      <c r="E214" s="1" t="s">
        <v>653</v>
      </c>
      <c r="F214" s="1" t="str">
        <f>SUBSTITUTE(Table1[[#This Row],[asset_tag]], "-", "")</f>
        <v>DDC4CY002405</v>
      </c>
      <c r="G214" s="1" t="s">
        <v>654</v>
      </c>
      <c r="H214" s="1" t="str">
        <f>IFERROR(VLOOKUP(F214, [1]BQ25_laptop_data_mod!A:C, 3, FALSE), "no MAC found")</f>
        <v>10-98-19-48-64-A3</v>
      </c>
      <c r="I214" s="1" t="s">
        <v>17</v>
      </c>
      <c r="J214" s="1" t="s">
        <v>630</v>
      </c>
      <c r="K214" s="1">
        <v>4662</v>
      </c>
      <c r="L214" s="3">
        <f>IFERROR(--_xlfn.TEXTBEFORE(Table1[[#This Row],[slot_number]],"-"),9999)</f>
        <v>13</v>
      </c>
      <c r="M214" s="3">
        <f>IFERROR(--_xlfn.TEXTAFTER(Table1[[#This Row],[slot_number]],"-"),9999)</f>
        <v>9</v>
      </c>
    </row>
    <row r="215" spans="1:104" s="3" customFormat="1" x14ac:dyDescent="0.25">
      <c r="A215" s="1">
        <v>283</v>
      </c>
      <c r="B215" s="1" t="str">
        <f t="shared" si="3"/>
        <v>013</v>
      </c>
      <c r="C215" s="2" t="s">
        <v>655</v>
      </c>
      <c r="D215" s="1" t="s">
        <v>14</v>
      </c>
      <c r="E215" s="1" t="s">
        <v>656</v>
      </c>
      <c r="F215" s="1" t="str">
        <f>SUBSTITUTE(Table1[[#This Row],[asset_tag]], "-", "")</f>
        <v>DDC4CY002414</v>
      </c>
      <c r="G215" s="1" t="s">
        <v>657</v>
      </c>
      <c r="H215" s="1" t="str">
        <f>IFERROR(VLOOKUP(F215, [1]BQ25_laptop_data_mod!A:C, 3, FALSE), "no MAC found")</f>
        <v>10-98-19-48-64-A8</v>
      </c>
      <c r="I215" s="1" t="s">
        <v>17</v>
      </c>
      <c r="J215" s="1" t="s">
        <v>630</v>
      </c>
      <c r="K215" s="1">
        <v>4662</v>
      </c>
      <c r="L215" s="3">
        <f>IFERROR(--_xlfn.TEXTBEFORE(Table1[[#This Row],[slot_number]],"-"),9999)</f>
        <v>13</v>
      </c>
      <c r="M215" s="3">
        <f>IFERROR(--_xlfn.TEXTAFTER(Table1[[#This Row],[slot_number]],"-"),9999)</f>
        <v>10</v>
      </c>
    </row>
    <row r="216" spans="1:104" s="3" customFormat="1" x14ac:dyDescent="0.25">
      <c r="A216" s="1">
        <v>283</v>
      </c>
      <c r="B216" s="1" t="str">
        <f t="shared" si="3"/>
        <v>014</v>
      </c>
      <c r="C216" s="2" t="s">
        <v>658</v>
      </c>
      <c r="D216" s="1" t="s">
        <v>14</v>
      </c>
      <c r="E216" s="1" t="s">
        <v>659</v>
      </c>
      <c r="F216" s="1" t="str">
        <f>SUBSTITUTE(Table1[[#This Row],[asset_tag]], "-", "")</f>
        <v>DDC4CY002404</v>
      </c>
      <c r="G216" s="1" t="s">
        <v>660</v>
      </c>
      <c r="H216" s="1" t="str">
        <f>IFERROR(VLOOKUP(F216, [1]BQ25_laptop_data_mod!A:C, 3, FALSE), "no MAC found")</f>
        <v>10-98-19-48-71-1B</v>
      </c>
      <c r="I216" s="1" t="s">
        <v>17</v>
      </c>
      <c r="J216" s="1" t="s">
        <v>630</v>
      </c>
      <c r="K216" s="1">
        <v>4662</v>
      </c>
      <c r="L216" s="3">
        <f>IFERROR(--_xlfn.TEXTBEFORE(Table1[[#This Row],[slot_number]],"-"),9999)</f>
        <v>14</v>
      </c>
      <c r="M216" s="3">
        <f>IFERROR(--_xlfn.TEXTAFTER(Table1[[#This Row],[slot_number]],"-"),9999)</f>
        <v>1</v>
      </c>
    </row>
    <row r="217" spans="1:104" s="3" customFormat="1" x14ac:dyDescent="0.25">
      <c r="A217" s="1">
        <v>283</v>
      </c>
      <c r="B217" s="1" t="str">
        <f t="shared" si="3"/>
        <v>014</v>
      </c>
      <c r="C217" s="2" t="s">
        <v>661</v>
      </c>
      <c r="D217" s="1" t="s">
        <v>14</v>
      </c>
      <c r="E217" s="1" t="s">
        <v>662</v>
      </c>
      <c r="F217" s="1" t="str">
        <f>SUBSTITUTE(Table1[[#This Row],[asset_tag]], "-", "")</f>
        <v>DDC4CY002409</v>
      </c>
      <c r="G217" s="1" t="s">
        <v>663</v>
      </c>
      <c r="H217" s="1" t="str">
        <f>IFERROR(VLOOKUP(F217, [1]BQ25_laptop_data_mod!A:C, 3, FALSE), "no MAC found")</f>
        <v>10-98-19-48-70-A2</v>
      </c>
      <c r="I217" s="1" t="s">
        <v>17</v>
      </c>
      <c r="J217" s="1" t="s">
        <v>630</v>
      </c>
      <c r="K217" s="1">
        <v>4662</v>
      </c>
      <c r="L217" s="3">
        <f>IFERROR(--_xlfn.TEXTBEFORE(Table1[[#This Row],[slot_number]],"-"),9999)</f>
        <v>14</v>
      </c>
      <c r="M217" s="3">
        <f>IFERROR(--_xlfn.TEXTAFTER(Table1[[#This Row],[slot_number]],"-"),9999)</f>
        <v>2</v>
      </c>
    </row>
    <row r="218" spans="1:104" s="3" customFormat="1" x14ac:dyDescent="0.25">
      <c r="A218" s="1">
        <v>283</v>
      </c>
      <c r="B218" s="1" t="str">
        <f t="shared" si="3"/>
        <v>014</v>
      </c>
      <c r="C218" s="2" t="s">
        <v>664</v>
      </c>
      <c r="D218" s="1" t="s">
        <v>14</v>
      </c>
      <c r="E218" s="1" t="s">
        <v>665</v>
      </c>
      <c r="F218" s="1" t="str">
        <f>SUBSTITUTE(Table1[[#This Row],[asset_tag]], "-", "")</f>
        <v>DDC4CY002415</v>
      </c>
      <c r="G218" s="1" t="s">
        <v>666</v>
      </c>
      <c r="H218" s="1" t="str">
        <f>IFERROR(VLOOKUP(F218, [1]BQ25_laptop_data_mod!A:C, 3, FALSE), "no MAC found")</f>
        <v>10-98-19-48-71-82</v>
      </c>
      <c r="I218" s="1" t="s">
        <v>17</v>
      </c>
      <c r="J218" s="1" t="s">
        <v>630</v>
      </c>
      <c r="K218" s="1">
        <v>4662</v>
      </c>
      <c r="L218" s="3">
        <f>IFERROR(--_xlfn.TEXTBEFORE(Table1[[#This Row],[slot_number]],"-"),9999)</f>
        <v>14</v>
      </c>
      <c r="M218" s="3">
        <f>IFERROR(--_xlfn.TEXTAFTER(Table1[[#This Row],[slot_number]],"-"),9999)</f>
        <v>3</v>
      </c>
    </row>
    <row r="219" spans="1:104" s="3" customFormat="1" x14ac:dyDescent="0.25">
      <c r="A219" s="1">
        <v>283</v>
      </c>
      <c r="B219" s="1" t="str">
        <f t="shared" si="3"/>
        <v>014</v>
      </c>
      <c r="C219" s="2" t="s">
        <v>667</v>
      </c>
      <c r="D219" s="1" t="s">
        <v>14</v>
      </c>
      <c r="E219" s="1" t="s">
        <v>668</v>
      </c>
      <c r="F219" s="1" t="str">
        <f>SUBSTITUTE(Table1[[#This Row],[asset_tag]], "-", "")</f>
        <v>DDC4CY002423</v>
      </c>
      <c r="G219" s="1" t="s">
        <v>669</v>
      </c>
      <c r="H219" s="1" t="str">
        <f>IFERROR(VLOOKUP(F219, [1]BQ25_laptop_data_mod!A:C, 3, FALSE), "no MAC found")</f>
        <v>10-98-19-48-71-37</v>
      </c>
      <c r="I219" s="1" t="s">
        <v>17</v>
      </c>
      <c r="J219" s="1" t="s">
        <v>630</v>
      </c>
      <c r="K219" s="1">
        <v>4662</v>
      </c>
      <c r="L219" s="3">
        <f>IFERROR(--_xlfn.TEXTBEFORE(Table1[[#This Row],[slot_number]],"-"),9999)</f>
        <v>14</v>
      </c>
      <c r="M219" s="3">
        <f>IFERROR(--_xlfn.TEXTAFTER(Table1[[#This Row],[slot_number]],"-"),9999)</f>
        <v>4</v>
      </c>
    </row>
    <row r="220" spans="1:104" s="3" customFormat="1" x14ac:dyDescent="0.25">
      <c r="A220" s="1">
        <v>283</v>
      </c>
      <c r="B220" s="1" t="str">
        <f t="shared" si="3"/>
        <v>014</v>
      </c>
      <c r="C220" s="2" t="s">
        <v>670</v>
      </c>
      <c r="D220" s="1" t="s">
        <v>14</v>
      </c>
      <c r="E220" s="1" t="s">
        <v>671</v>
      </c>
      <c r="F220" s="1" t="str">
        <f>SUBSTITUTE(Table1[[#This Row],[asset_tag]], "-", "")</f>
        <v>DDC4CY002795</v>
      </c>
      <c r="G220" s="1" t="s">
        <v>672</v>
      </c>
      <c r="H220" s="1" t="s">
        <v>673</v>
      </c>
      <c r="I220" s="1" t="s">
        <v>17</v>
      </c>
      <c r="J220" s="1" t="s">
        <v>18</v>
      </c>
      <c r="K220" s="1">
        <v>2335</v>
      </c>
      <c r="L220" s="3">
        <f>IFERROR(--_xlfn.TEXTBEFORE(Table1[[#This Row],[slot_number]],"-"),9999)</f>
        <v>14</v>
      </c>
      <c r="M220" s="3">
        <f>IFERROR(--_xlfn.TEXTAFTER(Table1[[#This Row],[slot_number]],"-"),9999)</f>
        <v>5</v>
      </c>
    </row>
    <row r="221" spans="1:104" s="3" customFormat="1" x14ac:dyDescent="0.25">
      <c r="A221" s="1">
        <v>283</v>
      </c>
      <c r="B221" s="1" t="str">
        <f t="shared" si="3"/>
        <v>014</v>
      </c>
      <c r="C221" s="2" t="s">
        <v>674</v>
      </c>
      <c r="D221" s="1" t="s">
        <v>14</v>
      </c>
      <c r="E221" s="1" t="s">
        <v>675</v>
      </c>
      <c r="F221" s="1" t="str">
        <f>SUBSTITUTE(Table1[[#This Row],[asset_tag]], "-", "")</f>
        <v>DDC4CY002670</v>
      </c>
      <c r="G221" s="1" t="s">
        <v>676</v>
      </c>
      <c r="H221" s="1" t="s">
        <v>677</v>
      </c>
      <c r="I221" s="1" t="s">
        <v>17</v>
      </c>
      <c r="J221" s="1" t="s">
        <v>18</v>
      </c>
      <c r="K221" s="1">
        <v>2250</v>
      </c>
      <c r="L221" s="3">
        <f>IFERROR(--_xlfn.TEXTBEFORE(Table1[[#This Row],[slot_number]],"-"),9999)</f>
        <v>14</v>
      </c>
      <c r="M221" s="3">
        <f>IFERROR(--_xlfn.TEXTAFTER(Table1[[#This Row],[slot_number]],"-"),9999)</f>
        <v>6</v>
      </c>
    </row>
    <row r="222" spans="1:104" s="3" customFormat="1" x14ac:dyDescent="0.25">
      <c r="A222" s="1">
        <v>283</v>
      </c>
      <c r="B222" s="1" t="str">
        <f t="shared" si="3"/>
        <v>014</v>
      </c>
      <c r="C222" s="2" t="s">
        <v>678</v>
      </c>
      <c r="D222" s="1" t="s">
        <v>14</v>
      </c>
      <c r="E222" s="1" t="s">
        <v>679</v>
      </c>
      <c r="F222" s="1" t="str">
        <f>SUBSTITUTE(Table1[[#This Row],[asset_tag]], "-", "")</f>
        <v>DDC4CY002779</v>
      </c>
      <c r="G222" s="1" t="s">
        <v>680</v>
      </c>
      <c r="H222" s="3" t="s">
        <v>681</v>
      </c>
      <c r="I222" s="1" t="s">
        <v>17</v>
      </c>
      <c r="J222" s="1" t="s">
        <v>18</v>
      </c>
      <c r="K222" s="1">
        <v>2335</v>
      </c>
      <c r="L222" s="3">
        <f>IFERROR(--_xlfn.TEXTBEFORE(Table1[[#This Row],[slot_number]],"-"),9999)</f>
        <v>14</v>
      </c>
      <c r="M222" s="3">
        <f>IFERROR(--_xlfn.TEXTAFTER(Table1[[#This Row],[slot_number]],"-"),9999)</f>
        <v>7</v>
      </c>
    </row>
    <row r="223" spans="1:104" s="4" customFormat="1" x14ac:dyDescent="0.25">
      <c r="A223" s="1">
        <v>283</v>
      </c>
      <c r="B223" s="1" t="str">
        <f t="shared" si="3"/>
        <v>015</v>
      </c>
      <c r="C223" s="2" t="s">
        <v>683</v>
      </c>
      <c r="D223" s="1" t="s">
        <v>14</v>
      </c>
      <c r="E223" s="1" t="s">
        <v>684</v>
      </c>
      <c r="F223" s="1" t="str">
        <f>SUBSTITUTE(Table1[[#This Row],[asset_tag]], "-", "")</f>
        <v>DDC4CY002422</v>
      </c>
      <c r="G223" s="1" t="s">
        <v>685</v>
      </c>
      <c r="H223" s="1" t="s">
        <v>686</v>
      </c>
      <c r="I223" s="1" t="s">
        <v>17</v>
      </c>
      <c r="J223" s="1" t="s">
        <v>630</v>
      </c>
      <c r="K223" s="1">
        <v>4662</v>
      </c>
      <c r="L223" s="3">
        <f>IFERROR(--_xlfn.TEXTBEFORE(Table1[[#This Row],[slot_number]],"-"),9999)</f>
        <v>15</v>
      </c>
      <c r="M223" s="3">
        <f>IFERROR(--_xlfn.TEXTAFTER(Table1[[#This Row],[slot_number]],"-"),9999)</f>
        <v>1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</row>
    <row r="224" spans="1:104" s="7" customFormat="1" x14ac:dyDescent="0.25">
      <c r="A224" s="1">
        <v>283</v>
      </c>
      <c r="B224" s="1" t="str">
        <f t="shared" si="3"/>
        <v>015</v>
      </c>
      <c r="C224" s="2" t="s">
        <v>687</v>
      </c>
      <c r="D224" s="1" t="s">
        <v>14</v>
      </c>
      <c r="E224" s="1" t="s">
        <v>688</v>
      </c>
      <c r="F224" s="1" t="str">
        <f>SUBSTITUTE(Table1[[#This Row],[asset_tag]], "-", "")</f>
        <v>DDC4CY002630</v>
      </c>
      <c r="G224" s="1" t="s">
        <v>689</v>
      </c>
      <c r="H224" s="1" t="s">
        <v>690</v>
      </c>
      <c r="I224" s="1" t="s">
        <v>17</v>
      </c>
      <c r="J224" s="1" t="s">
        <v>18</v>
      </c>
      <c r="K224" s="1">
        <v>2250</v>
      </c>
      <c r="L224" s="3">
        <f>IFERROR(--_xlfn.TEXTBEFORE(Table1[[#This Row],[slot_number]],"-"),9999)</f>
        <v>15</v>
      </c>
      <c r="M224" s="3">
        <f>IFERROR(--_xlfn.TEXTAFTER(Table1[[#This Row],[slot_number]],"-"),9999)</f>
        <v>2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</row>
    <row r="225" spans="1:104" s="3" customFormat="1" x14ac:dyDescent="0.25">
      <c r="A225" s="1">
        <v>283</v>
      </c>
      <c r="B225" s="1" t="str">
        <f t="shared" si="3"/>
        <v>015</v>
      </c>
      <c r="C225" s="2" t="s">
        <v>691</v>
      </c>
      <c r="D225" s="1" t="s">
        <v>14</v>
      </c>
      <c r="E225" s="1" t="s">
        <v>692</v>
      </c>
      <c r="F225" s="1" t="str">
        <f>SUBSTITUTE(Table1[[#This Row],[asset_tag]], "-", "")</f>
        <v>DDC4CY002408</v>
      </c>
      <c r="G225" s="1" t="s">
        <v>693</v>
      </c>
      <c r="H225" s="1" t="s">
        <v>694</v>
      </c>
      <c r="I225" s="1" t="s">
        <v>17</v>
      </c>
      <c r="J225" s="1" t="s">
        <v>630</v>
      </c>
      <c r="K225" s="1">
        <v>4662</v>
      </c>
      <c r="L225" s="3">
        <f>IFERROR(--_xlfn.TEXTBEFORE(Table1[[#This Row],[slot_number]],"-"),9999)</f>
        <v>15</v>
      </c>
      <c r="M225" s="3">
        <f>IFERROR(--_xlfn.TEXTAFTER(Table1[[#This Row],[slot_number]],"-"),9999)</f>
        <v>3</v>
      </c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</row>
    <row r="226" spans="1:104" s="3" customFormat="1" x14ac:dyDescent="0.25">
      <c r="A226" s="1">
        <v>290</v>
      </c>
      <c r="B226" s="1" t="str">
        <f t="shared" si="3"/>
        <v>015</v>
      </c>
      <c r="C226" s="2" t="s">
        <v>695</v>
      </c>
      <c r="D226" s="1" t="s">
        <v>14</v>
      </c>
      <c r="E226" s="1" t="s">
        <v>696</v>
      </c>
      <c r="F226" s="1" t="str">
        <f>SUBSTITUTE(Table1[[#This Row],[asset_tag]], "-", "")</f>
        <v>DDC4CY002602</v>
      </c>
      <c r="G226" s="1" t="s">
        <v>697</v>
      </c>
      <c r="H226" s="1" t="s">
        <v>698</v>
      </c>
      <c r="I226" s="1" t="s">
        <v>17</v>
      </c>
      <c r="J226" s="1" t="s">
        <v>18</v>
      </c>
      <c r="K226" s="1">
        <v>2250</v>
      </c>
      <c r="L226" s="3">
        <f>IFERROR(--_xlfn.TEXTBEFORE(Table1[[#This Row],[slot_number]],"-"),9999)</f>
        <v>15</v>
      </c>
      <c r="M226" s="3">
        <f>IFERROR(--_xlfn.TEXTAFTER(Table1[[#This Row],[slot_number]],"-"),9999)</f>
        <v>5</v>
      </c>
    </row>
    <row r="227" spans="1:104" s="3" customFormat="1" x14ac:dyDescent="0.25">
      <c r="A227" s="1">
        <v>283</v>
      </c>
      <c r="B227" s="1" t="str">
        <f t="shared" si="3"/>
        <v>015</v>
      </c>
      <c r="C227" s="2" t="s">
        <v>699</v>
      </c>
      <c r="D227" s="1" t="s">
        <v>14</v>
      </c>
      <c r="E227" s="1" t="s">
        <v>700</v>
      </c>
      <c r="F227" s="1" t="str">
        <f>SUBSTITUTE(Table1[[#This Row],[asset_tag]], "-", "")</f>
        <v>DDC4CY002669</v>
      </c>
      <c r="G227" s="1" t="s">
        <v>701</v>
      </c>
      <c r="H227" s="1" t="s">
        <v>702</v>
      </c>
      <c r="I227" s="1" t="s">
        <v>17</v>
      </c>
      <c r="J227" s="1" t="s">
        <v>18</v>
      </c>
      <c r="K227" s="1">
        <v>2250</v>
      </c>
      <c r="L227" s="3">
        <f>IFERROR(--_xlfn.TEXTBEFORE(Table1[[#This Row],[slot_number]],"-"),9999)</f>
        <v>15</v>
      </c>
      <c r="M227" s="3">
        <f>IFERROR(--_xlfn.TEXTAFTER(Table1[[#This Row],[slot_number]],"-"),9999)</f>
        <v>6</v>
      </c>
      <c r="CY227" s="5"/>
      <c r="CZ227" s="5"/>
    </row>
    <row r="228" spans="1:104" s="3" customFormat="1" x14ac:dyDescent="0.25">
      <c r="A228" s="1">
        <v>283</v>
      </c>
      <c r="B228" s="1" t="str">
        <f t="shared" si="3"/>
        <v>015</v>
      </c>
      <c r="C228" s="2" t="s">
        <v>703</v>
      </c>
      <c r="D228" s="1" t="s">
        <v>14</v>
      </c>
      <c r="E228" s="1" t="s">
        <v>704</v>
      </c>
      <c r="F228" s="1" t="str">
        <f>SUBSTITUTE(Table1[[#This Row],[asset_tag]], "-", "")</f>
        <v>DDC4CY002421</v>
      </c>
      <c r="G228" s="1" t="s">
        <v>705</v>
      </c>
      <c r="H228" s="1" t="s">
        <v>706</v>
      </c>
      <c r="I228" s="1" t="s">
        <v>17</v>
      </c>
      <c r="J228" s="1" t="s">
        <v>630</v>
      </c>
      <c r="K228" s="1">
        <v>4662</v>
      </c>
      <c r="L228" s="3">
        <f>IFERROR(--_xlfn.TEXTBEFORE(Table1[[#This Row],[slot_number]],"-"),9999)</f>
        <v>15</v>
      </c>
      <c r="M228" s="3">
        <f>IFERROR(--_xlfn.TEXTAFTER(Table1[[#This Row],[slot_number]],"-"),9999)</f>
        <v>7</v>
      </c>
    </row>
    <row r="229" spans="1:104" s="3" customFormat="1" x14ac:dyDescent="0.25">
      <c r="A229" s="1">
        <v>283</v>
      </c>
      <c r="B229" s="1" t="str">
        <f t="shared" si="3"/>
        <v>015</v>
      </c>
      <c r="C229" s="2" t="s">
        <v>707</v>
      </c>
      <c r="D229" s="1" t="s">
        <v>14</v>
      </c>
      <c r="E229" s="1" t="s">
        <v>708</v>
      </c>
      <c r="F229" s="1" t="str">
        <f>SUBSTITUTE(Table1[[#This Row],[asset_tag]], "-", "")</f>
        <v>DDC4CY002660</v>
      </c>
      <c r="G229" s="1" t="s">
        <v>709</v>
      </c>
      <c r="H229" s="1" t="s">
        <v>710</v>
      </c>
      <c r="I229" s="1" t="s">
        <v>17</v>
      </c>
      <c r="J229" s="1" t="s">
        <v>18</v>
      </c>
      <c r="K229" s="1">
        <v>2250</v>
      </c>
      <c r="L229" s="3">
        <f>IFERROR(--_xlfn.TEXTBEFORE(Table1[[#This Row],[slot_number]],"-"),9999)</f>
        <v>15</v>
      </c>
      <c r="M229" s="3">
        <f>IFERROR(--_xlfn.TEXTAFTER(Table1[[#This Row],[slot_number]],"-"),9999)</f>
        <v>8</v>
      </c>
    </row>
    <row r="230" spans="1:104" s="3" customFormat="1" x14ac:dyDescent="0.25">
      <c r="A230" s="1">
        <v>283</v>
      </c>
      <c r="B230" s="1" t="str">
        <f t="shared" si="3"/>
        <v>015</v>
      </c>
      <c r="C230" s="2" t="s">
        <v>711</v>
      </c>
      <c r="D230" s="1" t="s">
        <v>14</v>
      </c>
      <c r="E230" s="1" t="s">
        <v>712</v>
      </c>
      <c r="F230" s="1" t="str">
        <f>SUBSTITUTE(Table1[[#This Row],[asset_tag]], "-", "")</f>
        <v>DDC4CY002412</v>
      </c>
      <c r="G230" s="1" t="s">
        <v>713</v>
      </c>
      <c r="H230" s="1" t="s">
        <v>714</v>
      </c>
      <c r="I230" s="1" t="s">
        <v>17</v>
      </c>
      <c r="J230" s="1" t="s">
        <v>630</v>
      </c>
      <c r="K230" s="1">
        <v>4662</v>
      </c>
      <c r="L230" s="3">
        <f>IFERROR(--_xlfn.TEXTBEFORE(Table1[[#This Row],[slot_number]],"-"),9999)</f>
        <v>15</v>
      </c>
      <c r="M230" s="3">
        <f>IFERROR(--_xlfn.TEXTAFTER(Table1[[#This Row],[slot_number]],"-"),9999)</f>
        <v>9</v>
      </c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</row>
    <row r="231" spans="1:104" s="3" customFormat="1" x14ac:dyDescent="0.25">
      <c r="A231" s="1">
        <v>283</v>
      </c>
      <c r="B231" s="1" t="str">
        <f t="shared" si="3"/>
        <v>015</v>
      </c>
      <c r="C231" s="2" t="s">
        <v>715</v>
      </c>
      <c r="D231" s="1" t="s">
        <v>14</v>
      </c>
      <c r="E231" s="1" t="s">
        <v>716</v>
      </c>
      <c r="F231" s="1" t="str">
        <f>SUBSTITUTE(Table1[[#This Row],[asset_tag]], "-", "")</f>
        <v>DDC4CY002425</v>
      </c>
      <c r="G231" s="1" t="s">
        <v>717</v>
      </c>
      <c r="H231" s="1" t="s">
        <v>718</v>
      </c>
      <c r="I231" s="1" t="s">
        <v>17</v>
      </c>
      <c r="J231" s="1" t="s">
        <v>630</v>
      </c>
      <c r="K231" s="1">
        <v>4662</v>
      </c>
      <c r="L231" s="3">
        <f>IFERROR(--_xlfn.TEXTBEFORE(Table1[[#This Row],[slot_number]],"-"),9999)</f>
        <v>15</v>
      </c>
      <c r="M231" s="3">
        <f>IFERROR(--_xlfn.TEXTAFTER(Table1[[#This Row],[slot_number]],"-"),9999)</f>
        <v>10</v>
      </c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</row>
    <row r="232" spans="1:104" s="3" customFormat="1" x14ac:dyDescent="0.25">
      <c r="A232" s="1">
        <v>283</v>
      </c>
      <c r="B232" s="1" t="str">
        <f t="shared" si="3"/>
        <v>015</v>
      </c>
      <c r="C232" s="2" t="s">
        <v>719</v>
      </c>
      <c r="D232" s="1" t="s">
        <v>14</v>
      </c>
      <c r="E232" s="1" t="s">
        <v>720</v>
      </c>
      <c r="F232" s="1" t="str">
        <f>SUBSTITUTE(Table1[[#This Row],[asset_tag]], "-", "")</f>
        <v>DDC4CY002547</v>
      </c>
      <c r="G232" s="1" t="s">
        <v>721</v>
      </c>
      <c r="H232" s="1" t="s">
        <v>722</v>
      </c>
      <c r="I232" s="1" t="s">
        <v>17</v>
      </c>
      <c r="J232" s="1" t="s">
        <v>18</v>
      </c>
      <c r="K232" s="1">
        <v>2250</v>
      </c>
      <c r="L232" s="3">
        <f>IFERROR(--_xlfn.TEXTBEFORE(Table1[[#This Row],[slot_number]],"-"),9999)</f>
        <v>15</v>
      </c>
      <c r="M232" s="3">
        <f>IFERROR(--_xlfn.TEXTAFTER(Table1[[#This Row],[slot_number]],"-"),9999)</f>
        <v>11</v>
      </c>
    </row>
    <row r="233" spans="1:104" s="3" customFormat="1" x14ac:dyDescent="0.25">
      <c r="A233" s="1">
        <v>283</v>
      </c>
      <c r="B233" s="1" t="str">
        <f t="shared" si="3"/>
        <v>015</v>
      </c>
      <c r="C233" s="2" t="s">
        <v>723</v>
      </c>
      <c r="D233" s="1" t="s">
        <v>14</v>
      </c>
      <c r="E233" s="1" t="s">
        <v>724</v>
      </c>
      <c r="F233" s="1" t="str">
        <f>SUBSTITUTE(Table1[[#This Row],[asset_tag]], "-", "")</f>
        <v>DDC4CY002377</v>
      </c>
      <c r="G233" s="1" t="s">
        <v>725</v>
      </c>
      <c r="H233" s="1" t="s">
        <v>726</v>
      </c>
      <c r="I233" s="1" t="s">
        <v>17</v>
      </c>
      <c r="J233" s="1" t="s">
        <v>630</v>
      </c>
      <c r="K233" s="1">
        <v>4662</v>
      </c>
      <c r="L233" s="3">
        <f>IFERROR(--_xlfn.TEXTBEFORE(Table1[[#This Row],[slot_number]],"-"),9999)</f>
        <v>15</v>
      </c>
      <c r="M233" s="3">
        <f>IFERROR(--_xlfn.TEXTAFTER(Table1[[#This Row],[slot_number]],"-"),9999)</f>
        <v>12</v>
      </c>
      <c r="CY233" s="8"/>
      <c r="CZ233" s="8"/>
    </row>
    <row r="234" spans="1:104" s="3" customFormat="1" x14ac:dyDescent="0.25">
      <c r="A234" s="1">
        <v>283</v>
      </c>
      <c r="B234" s="1" t="str">
        <f t="shared" si="3"/>
        <v>016</v>
      </c>
      <c r="C234" s="2" t="s">
        <v>727</v>
      </c>
      <c r="D234" s="1" t="s">
        <v>14</v>
      </c>
      <c r="E234" s="1" t="s">
        <v>728</v>
      </c>
      <c r="F234" s="1" t="str">
        <f>SUBSTITUTE(Table1[[#This Row],[asset_tag]], "-", "")</f>
        <v>DDC4CY002370</v>
      </c>
      <c r="G234" s="1" t="s">
        <v>729</v>
      </c>
      <c r="H234" s="1" t="s">
        <v>730</v>
      </c>
      <c r="I234" s="1" t="s">
        <v>731</v>
      </c>
      <c r="J234" s="1" t="s">
        <v>732</v>
      </c>
      <c r="K234" s="1">
        <v>1300</v>
      </c>
      <c r="L234" s="3">
        <f>IFERROR(--_xlfn.TEXTBEFORE(Table1[[#This Row],[slot_number]],"-"),9999)</f>
        <v>16</v>
      </c>
      <c r="M234" s="3">
        <f>IFERROR(--_xlfn.TEXTAFTER(Table1[[#This Row],[slot_number]],"-"),9999)</f>
        <v>1</v>
      </c>
      <c r="CY234" s="7"/>
      <c r="CZ234" s="7"/>
    </row>
    <row r="235" spans="1:104" s="3" customFormat="1" x14ac:dyDescent="0.25">
      <c r="A235" s="1">
        <v>283</v>
      </c>
      <c r="B235" s="1" t="str">
        <f t="shared" si="3"/>
        <v>016</v>
      </c>
      <c r="C235" s="2" t="s">
        <v>733</v>
      </c>
      <c r="D235" s="1" t="s">
        <v>14</v>
      </c>
      <c r="E235" s="1" t="s">
        <v>734</v>
      </c>
      <c r="F235" s="1" t="str">
        <f>SUBSTITUTE(Table1[[#This Row],[asset_tag]], "-", "")</f>
        <v>DDC4CY002227</v>
      </c>
      <c r="G235" s="1" t="s">
        <v>735</v>
      </c>
      <c r="H235" s="1" t="s">
        <v>736</v>
      </c>
      <c r="I235" s="1" t="s">
        <v>731</v>
      </c>
      <c r="J235" s="1" t="s">
        <v>732</v>
      </c>
      <c r="K235" s="1">
        <v>1500</v>
      </c>
      <c r="L235" s="3">
        <f>IFERROR(--_xlfn.TEXTBEFORE(Table1[[#This Row],[slot_number]],"-"),9999)</f>
        <v>16</v>
      </c>
      <c r="M235" s="3">
        <f>IFERROR(--_xlfn.TEXTAFTER(Table1[[#This Row],[slot_number]],"-"),9999)</f>
        <v>2</v>
      </c>
    </row>
    <row r="236" spans="1:104" s="3" customFormat="1" x14ac:dyDescent="0.25">
      <c r="A236" s="1">
        <v>283</v>
      </c>
      <c r="B236" s="1" t="str">
        <f t="shared" si="3"/>
        <v>016</v>
      </c>
      <c r="C236" s="2" t="s">
        <v>737</v>
      </c>
      <c r="D236" s="1" t="s">
        <v>14</v>
      </c>
      <c r="E236" s="1" t="s">
        <v>738</v>
      </c>
      <c r="F236" s="1" t="str">
        <f>SUBSTITUTE(Table1[[#This Row],[asset_tag]], "-", "")</f>
        <v>DDC4CY002260</v>
      </c>
      <c r="G236" s="1" t="s">
        <v>739</v>
      </c>
      <c r="H236" s="1" t="s">
        <v>740</v>
      </c>
      <c r="I236" s="1" t="s">
        <v>731</v>
      </c>
      <c r="J236" s="1" t="s">
        <v>732</v>
      </c>
      <c r="K236" s="1">
        <v>1500</v>
      </c>
      <c r="L236" s="3">
        <f>IFERROR(--_xlfn.TEXTBEFORE(Table1[[#This Row],[slot_number]],"-"),9999)</f>
        <v>16</v>
      </c>
      <c r="M236" s="3">
        <f>IFERROR(--_xlfn.TEXTAFTER(Table1[[#This Row],[slot_number]],"-"),9999)</f>
        <v>3</v>
      </c>
      <c r="CZ236" s="4"/>
    </row>
    <row r="237" spans="1:104" s="3" customFormat="1" x14ac:dyDescent="0.25">
      <c r="A237" s="1">
        <v>283</v>
      </c>
      <c r="B237" s="1" t="str">
        <f t="shared" si="3"/>
        <v>016</v>
      </c>
      <c r="C237" s="2" t="s">
        <v>741</v>
      </c>
      <c r="D237" s="1" t="s">
        <v>14</v>
      </c>
      <c r="E237" s="1" t="s">
        <v>742</v>
      </c>
      <c r="F237" s="1" t="str">
        <f>SUBSTITUTE(Table1[[#This Row],[asset_tag]], "-", "")</f>
        <v>DDC4CY002312</v>
      </c>
      <c r="G237" s="1" t="s">
        <v>743</v>
      </c>
      <c r="H237" s="1" t="s">
        <v>744</v>
      </c>
      <c r="I237" s="1" t="s">
        <v>731</v>
      </c>
      <c r="J237" s="1" t="s">
        <v>732</v>
      </c>
      <c r="K237" s="1">
        <v>1500</v>
      </c>
      <c r="L237" s="3">
        <f>IFERROR(--_xlfn.TEXTBEFORE(Table1[[#This Row],[slot_number]],"-"),9999)</f>
        <v>16</v>
      </c>
      <c r="M237" s="3">
        <f>IFERROR(--_xlfn.TEXTAFTER(Table1[[#This Row],[slot_number]],"-"),9999)</f>
        <v>4</v>
      </c>
    </row>
    <row r="238" spans="1:104" s="3" customFormat="1" x14ac:dyDescent="0.25">
      <c r="A238" s="1">
        <v>283</v>
      </c>
      <c r="B238" s="1" t="str">
        <f t="shared" si="3"/>
        <v>016</v>
      </c>
      <c r="C238" s="2" t="s">
        <v>745</v>
      </c>
      <c r="D238" s="1" t="s">
        <v>14</v>
      </c>
      <c r="E238" s="1" t="s">
        <v>746</v>
      </c>
      <c r="F238" s="1" t="str">
        <f>SUBSTITUTE(Table1[[#This Row],[asset_tag]], "-", "")</f>
        <v>DDC4CY002564</v>
      </c>
      <c r="G238" s="1" t="s">
        <v>747</v>
      </c>
      <c r="H238" s="1" t="str">
        <f>IFERROR(VLOOKUP(F238, [1]BQ25_laptop_data_mod!A:C, 3, FALSE), "no MAC found")</f>
        <v>10-98-19-4A-52-A8</v>
      </c>
      <c r="I238" s="1" t="s">
        <v>17</v>
      </c>
      <c r="J238" s="1" t="s">
        <v>18</v>
      </c>
      <c r="K238" s="1">
        <v>2250</v>
      </c>
      <c r="L238" s="3">
        <f>IFERROR(--_xlfn.TEXTBEFORE(Table1[[#This Row],[slot_number]],"-"),9999)</f>
        <v>16</v>
      </c>
      <c r="M238" s="3">
        <f>IFERROR(--_xlfn.TEXTAFTER(Table1[[#This Row],[slot_number]],"-"),9999)</f>
        <v>5</v>
      </c>
    </row>
    <row r="239" spans="1:104" s="3" customFormat="1" x14ac:dyDescent="0.25">
      <c r="A239" s="1">
        <v>283</v>
      </c>
      <c r="B239" s="1" t="str">
        <f t="shared" si="3"/>
        <v>016</v>
      </c>
      <c r="C239" s="2" t="s">
        <v>748</v>
      </c>
      <c r="D239" s="1" t="s">
        <v>14</v>
      </c>
      <c r="E239" s="1" t="s">
        <v>749</v>
      </c>
      <c r="F239" s="1" t="str">
        <f>SUBSTITUTE(Table1[[#This Row],[asset_tag]], "-", "")</f>
        <v>DDC4CY002615</v>
      </c>
      <c r="G239" s="1" t="s">
        <v>750</v>
      </c>
      <c r="H239" s="1" t="str">
        <f>IFERROR(VLOOKUP(F239, [1]BQ25_laptop_data_mod!A:C, 3, FALSE), "no MAC found")</f>
        <v>10-98-19-4A-51-BE</v>
      </c>
      <c r="I239" s="1" t="s">
        <v>17</v>
      </c>
      <c r="J239" s="1" t="s">
        <v>18</v>
      </c>
      <c r="K239" s="1">
        <v>2250</v>
      </c>
      <c r="L239" s="3">
        <f>IFERROR(--_xlfn.TEXTBEFORE(Table1[[#This Row],[slot_number]],"-"),9999)</f>
        <v>16</v>
      </c>
      <c r="M239" s="3">
        <f>IFERROR(--_xlfn.TEXTAFTER(Table1[[#This Row],[slot_number]],"-"),9999)</f>
        <v>6</v>
      </c>
    </row>
    <row r="240" spans="1:104" s="3" customFormat="1" x14ac:dyDescent="0.25">
      <c r="A240" s="1">
        <v>283</v>
      </c>
      <c r="B240" s="1" t="str">
        <f t="shared" si="3"/>
        <v>016</v>
      </c>
      <c r="C240" s="2" t="s">
        <v>751</v>
      </c>
      <c r="D240" s="1" t="s">
        <v>14</v>
      </c>
      <c r="E240" s="1" t="s">
        <v>752</v>
      </c>
      <c r="F240" s="1" t="str">
        <f>SUBSTITUTE(Table1[[#This Row],[asset_tag]], "-", "")</f>
        <v>DDC4CY002376</v>
      </c>
      <c r="G240" s="1" t="s">
        <v>753</v>
      </c>
      <c r="H240" s="1" t="s">
        <v>754</v>
      </c>
      <c r="I240" s="1" t="s">
        <v>17</v>
      </c>
      <c r="J240" s="1" t="s">
        <v>630</v>
      </c>
      <c r="K240" s="1">
        <v>4662</v>
      </c>
      <c r="L240" s="3">
        <f>IFERROR(--_xlfn.TEXTBEFORE(Table1[[#This Row],[slot_number]],"-"),9999)</f>
        <v>16</v>
      </c>
      <c r="M240" s="3">
        <f>IFERROR(--_xlfn.TEXTAFTER(Table1[[#This Row],[slot_number]],"-"),9999)</f>
        <v>7</v>
      </c>
    </row>
    <row r="241" spans="1:102" s="3" customFormat="1" x14ac:dyDescent="0.25">
      <c r="A241" s="1">
        <v>283</v>
      </c>
      <c r="B241" s="1" t="str">
        <f t="shared" si="3"/>
        <v>016</v>
      </c>
      <c r="C241" s="2" t="s">
        <v>755</v>
      </c>
      <c r="D241" s="1" t="s">
        <v>14</v>
      </c>
      <c r="E241" s="1" t="s">
        <v>756</v>
      </c>
      <c r="F241" s="1" t="str">
        <f>SUBSTITUTE(Table1[[#This Row],[asset_tag]], "-", "")</f>
        <v>DDC4CY002470</v>
      </c>
      <c r="G241" s="1" t="s">
        <v>757</v>
      </c>
      <c r="H241" s="1" t="s">
        <v>758</v>
      </c>
      <c r="I241" s="1" t="s">
        <v>17</v>
      </c>
      <c r="J241" s="1" t="s">
        <v>630</v>
      </c>
      <c r="K241" s="1">
        <v>4662</v>
      </c>
      <c r="L241" s="3">
        <f>IFERROR(--_xlfn.TEXTBEFORE(Table1[[#This Row],[slot_number]],"-"),9999)</f>
        <v>16</v>
      </c>
      <c r="M241" s="3">
        <f>IFERROR(--_xlfn.TEXTAFTER(Table1[[#This Row],[slot_number]],"-"),9999)</f>
        <v>8</v>
      </c>
    </row>
    <row r="242" spans="1:102" s="3" customFormat="1" x14ac:dyDescent="0.25">
      <c r="A242" s="3" t="s">
        <v>682</v>
      </c>
      <c r="B242" s="1" t="str">
        <f t="shared" si="3"/>
        <v>111</v>
      </c>
      <c r="C242" s="2" t="s">
        <v>759</v>
      </c>
      <c r="D242" s="1" t="s">
        <v>14</v>
      </c>
      <c r="E242" s="1" t="s">
        <v>760</v>
      </c>
      <c r="F242" s="1" t="str">
        <f>SUBSTITUTE(Table1[[#This Row],[asset_tag]], "-", "")</f>
        <v>DDC4CY000739</v>
      </c>
      <c r="G242" s="1" t="s">
        <v>761</v>
      </c>
      <c r="H242" s="1" t="s">
        <v>762</v>
      </c>
      <c r="I242" s="1" t="s">
        <v>17</v>
      </c>
      <c r="J242" s="1" t="s">
        <v>763</v>
      </c>
      <c r="K242" s="1">
        <v>2650</v>
      </c>
      <c r="L242" s="3">
        <f>IFERROR(--_xlfn.TEXTBEFORE(Table1[[#This Row],[slot_number]],"-"),9999)</f>
        <v>111</v>
      </c>
      <c r="M242" s="3">
        <f>IFERROR(--_xlfn.TEXTAFTER(Table1[[#This Row],[slot_number]],"-"),9999)</f>
        <v>1</v>
      </c>
    </row>
    <row r="243" spans="1:102" s="3" customFormat="1" x14ac:dyDescent="0.25">
      <c r="A243" s="1" t="s">
        <v>682</v>
      </c>
      <c r="B243" s="1" t="str">
        <f t="shared" si="3"/>
        <v>111</v>
      </c>
      <c r="C243" s="2" t="s">
        <v>764</v>
      </c>
      <c r="D243" s="1" t="s">
        <v>14</v>
      </c>
      <c r="E243" s="1" t="s">
        <v>765</v>
      </c>
      <c r="F243" s="1" t="str">
        <f>SUBSTITUTE(Table1[[#This Row],[asset_tag]], "-", "")</f>
        <v>DDC4CY000754</v>
      </c>
      <c r="G243" s="1" t="s">
        <v>766</v>
      </c>
      <c r="H243" s="1" t="s">
        <v>767</v>
      </c>
      <c r="I243" s="1" t="s">
        <v>17</v>
      </c>
      <c r="J243" s="1" t="s">
        <v>763</v>
      </c>
      <c r="K243" s="1">
        <v>2650</v>
      </c>
      <c r="L243" s="3">
        <f>IFERROR(--_xlfn.TEXTBEFORE(Table1[[#This Row],[slot_number]],"-"),9999)</f>
        <v>111</v>
      </c>
      <c r="M243" s="3">
        <f>IFERROR(--_xlfn.TEXTAFTER(Table1[[#This Row],[slot_number]],"-"),9999)</f>
        <v>2</v>
      </c>
    </row>
    <row r="244" spans="1:102" s="3" customFormat="1" x14ac:dyDescent="0.25">
      <c r="A244" s="1" t="s">
        <v>682</v>
      </c>
      <c r="B244" s="1" t="str">
        <f t="shared" si="3"/>
        <v>111</v>
      </c>
      <c r="C244" s="2" t="s">
        <v>768</v>
      </c>
      <c r="D244" s="1" t="s">
        <v>14</v>
      </c>
      <c r="E244" s="1" t="s">
        <v>769</v>
      </c>
      <c r="F244" s="1" t="str">
        <f>SUBSTITUTE(Table1[[#This Row],[asset_tag]], "-", "")</f>
        <v>DDC4CY001468</v>
      </c>
      <c r="G244" s="1" t="s">
        <v>770</v>
      </c>
      <c r="H244" s="1" t="s">
        <v>771</v>
      </c>
      <c r="I244" s="1" t="s">
        <v>17</v>
      </c>
      <c r="J244" s="1" t="s">
        <v>772</v>
      </c>
      <c r="K244" s="1">
        <v>2200</v>
      </c>
      <c r="L244" s="3">
        <f>IFERROR(--_xlfn.TEXTBEFORE(Table1[[#This Row],[slot_number]],"-"),9999)</f>
        <v>111</v>
      </c>
      <c r="M244" s="3">
        <f>IFERROR(--_xlfn.TEXTAFTER(Table1[[#This Row],[slot_number]],"-"),9999)</f>
        <v>3</v>
      </c>
      <c r="CF244" s="5"/>
      <c r="CG244" s="5"/>
      <c r="CQ244" s="5"/>
      <c r="CX244" s="8"/>
    </row>
    <row r="245" spans="1:102" s="3" customFormat="1" x14ac:dyDescent="0.25">
      <c r="A245" s="1" t="s">
        <v>682</v>
      </c>
      <c r="B245" s="1" t="str">
        <f t="shared" si="3"/>
        <v>111</v>
      </c>
      <c r="C245" s="2" t="s">
        <v>773</v>
      </c>
      <c r="D245" s="1" t="s">
        <v>14</v>
      </c>
      <c r="E245" s="1" t="s">
        <v>774</v>
      </c>
      <c r="F245" s="1" t="str">
        <f>SUBSTITUTE(Table1[[#This Row],[asset_tag]], "-", "")</f>
        <v>DJJ021038422</v>
      </c>
      <c r="G245" s="1" t="s">
        <v>775</v>
      </c>
      <c r="H245" s="1" t="s">
        <v>776</v>
      </c>
      <c r="I245" s="1" t="s">
        <v>17</v>
      </c>
      <c r="J245" s="1" t="s">
        <v>772</v>
      </c>
      <c r="K245" s="1">
        <v>2100</v>
      </c>
      <c r="L245" s="3">
        <f>IFERROR(--_xlfn.TEXTBEFORE(Table1[[#This Row],[slot_number]],"-"),9999)</f>
        <v>111</v>
      </c>
      <c r="M245" s="3">
        <f>IFERROR(--_xlfn.TEXTAFTER(Table1[[#This Row],[slot_number]],"-"),9999)</f>
        <v>4</v>
      </c>
      <c r="BW245" s="6"/>
      <c r="CD245" s="5"/>
      <c r="CF245" s="5"/>
      <c r="CG245" s="5"/>
      <c r="CH245" s="8"/>
      <c r="CI245" s="8"/>
      <c r="CJ245" s="8"/>
      <c r="CK245" s="8"/>
      <c r="CL245" s="8"/>
      <c r="CM245" s="8"/>
      <c r="CN245" s="8"/>
      <c r="CO245" s="8"/>
      <c r="CP245" s="8"/>
      <c r="CX245" s="8"/>
    </row>
  </sheetData>
  <conditionalFormatting sqref="H2:H245">
    <cfRule type="containsText" dxfId="0" priority="1" operator="containsText" text="no MAC found">
      <formula>NOT(ISERROR(SEARCH("no MAC found",H2)))</formula>
    </cfRule>
  </conditionalFormatting>
  <dataValidations count="2">
    <dataValidation type="custom" allowBlank="1" showInputMessage="1" showErrorMessage="1" errorTitle="Invalid Format" error="Please use the format CASE-SLOT (e.g., 1-8 or 3-15)." sqref="C63 C145" xr:uid="{85B6F7E3-AD9B-44D0-8B48-3FF984A47386}">
      <formula1>IFERROR(AND((LEN(C63)-LEN(SUBSTITUTE(C63,"-","")))=1, ISNUMBER(VALUE(_xlfn.TEXTBEFORE(C63,"-"))), ISNUMBER(VALUE(_xlfn.TEXTAFTER(C63,"-")))), FALSE)</formula1>
    </dataValidation>
    <dataValidation type="custom" errorStyle="warning" allowBlank="1" showInputMessage="1" showErrorMessage="1" errorTitle="Invalid Format" error="Please use the format CASE-SLOT (e.g., 1-8 or 3-15)." sqref="C2:C62 C64:C144 C146:C245" xr:uid="{561EA046-18D4-4FAE-B8A1-1F7ACA66D0D3}">
      <formula1>IFERROR(AND((LEN(C2)-LEN(SUBSTITUTE(C2,"-","")))=1, ISNUMBER(VALUE(_xlfn.TEXTBEFORE(C2,"-"))), ISNUMBER(VALUE(_xlfn.TEXTAFTER(C2,"-")))), FALSE)</formula1>
    </dataValidation>
  </dataValidations>
  <printOptions horizontalCentered="1" verticalCentered="1"/>
  <pageMargins left="0.7" right="0.7" top="0.75" bottom="0.75" header="0.3" footer="0.3"/>
  <pageSetup paperSize="17" fitToHeight="0" orientation="landscape" verticalDpi="0" r:id="rId1"/>
  <legacy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BQ26 main inventory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Curl, Gregory A CTR JS J6 (USA)</dc:creator>
  <cp:lastModifiedBy>Curl, Gregory A CTR JS J6 (USA)</cp:lastModifiedBy>
  <dcterms:created xsi:type="dcterms:W3CDTF">2026-02-18T15:08:49Z</dcterms:created>
  <dcterms:modified xsi:type="dcterms:W3CDTF">2026-02-18T15:12:58Z</dcterms:modified>
</cp:coreProperties>
</file>